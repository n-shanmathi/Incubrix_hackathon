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3" activeTab="6" autoFilterDateGrouping="1"/>
  </bookViews>
  <sheets>
    <sheet name="0_Start_Here" sheetId="1" state="visible" r:id="rId1"/>
    <sheet name="1_Your_Details" sheetId="2" state="visible" r:id="rId2"/>
    <sheet name="2_Must_haves" sheetId="3" state="visible" r:id="rId3"/>
    <sheet name="3_Levels" sheetId="4" state="visible" r:id="rId4"/>
    <sheet name="4_Integration" sheetId="5" state="visible" r:id="rId5"/>
    <sheet name="5_Metrics" sheetId="6" state="visible" r:id="rId6"/>
    <sheet name="6_Hard_cases" sheetId="7" state="visible" r:id="rId7"/>
    <sheet name="7_Declaration" sheetId="8" state="visible" r:id="rId8"/>
  </sheets>
  <definedNames/>
  <calcPr calcId="191029" calcMode="auto" fullCalcOnLoad="1" iterateDelta="0.0001" forceFullCalc="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charset val="1"/>
      <b val="1"/>
      <color rgb="FFFFFFFF"/>
      <sz val="13"/>
    </font>
    <font>
      <name val="Arial"/>
      <charset val="1"/>
      <color rgb="FFFFFFFF"/>
      <sz val="10"/>
    </font>
    <font>
      <name val="Arial"/>
      <charset val="1"/>
      <b val="1"/>
      <color rgb="FFFFFFFF"/>
      <sz val="10"/>
    </font>
    <font>
      <name val="Arial"/>
      <charset val="1"/>
      <color rgb="FF14212B"/>
      <sz val="10"/>
    </font>
    <font>
      <name val="Arial"/>
      <charset val="1"/>
      <b val="1"/>
      <color rgb="FF14212B"/>
      <sz val="10"/>
    </font>
    <font>
      <name val="Arial"/>
      <charset val="1"/>
      <i val="1"/>
      <color rgb="FF5B6B78"/>
      <sz val="10"/>
    </font>
    <font>
      <name val="Calibri"/>
      <charset val="1"/>
      <family val="2"/>
      <color theme="10"/>
      <sz val="11"/>
      <u val="single"/>
    </font>
  </fonts>
  <fills count="8">
    <fill>
      <patternFill/>
    </fill>
    <fill>
      <patternFill patternType="gray125"/>
    </fill>
    <fill>
      <patternFill patternType="solid">
        <fgColor rgb="FF0B1B2B"/>
        <bgColor rgb="FF14212B"/>
      </patternFill>
    </fill>
    <fill>
      <patternFill patternType="solid">
        <fgColor rgb="FF008F8A"/>
        <bgColor rgb="FF008080"/>
      </patternFill>
    </fill>
    <fill>
      <patternFill patternType="solid">
        <fgColor rgb="FFF3F5F7"/>
        <bgColor rgb="FFE7F5F3"/>
      </patternFill>
    </fill>
    <fill>
      <patternFill patternType="solid">
        <fgColor rgb="FF12324D"/>
        <bgColor rgb="FF14212B"/>
      </patternFill>
    </fill>
    <fill>
      <patternFill patternType="solid">
        <fgColor rgb="FFE7F5F3"/>
        <bgColor rgb="FFF3F5F7"/>
      </patternFill>
    </fill>
    <fill>
      <patternFill patternType="solid">
        <fgColor rgb="FFFFF4C7"/>
        <bgColor rgb="FFF3F5F7"/>
      </patternFill>
    </fill>
  </fills>
  <borders count="7">
    <border>
      <left/>
      <right/>
      <top/>
      <bottom/>
      <diagonal/>
    </border>
    <border>
      <left style="thin">
        <color rgb="FFD5DDE3"/>
      </left>
      <right/>
      <top style="thin">
        <color rgb="FFD5DDE3"/>
      </top>
      <bottom style="thin">
        <color rgb="FFD5DDE3"/>
      </bottom>
      <diagonal/>
    </border>
    <border>
      <left style="thin">
        <color rgb="FFD5DDE3"/>
      </left>
      <right style="thin">
        <color rgb="FFD5DDE3"/>
      </right>
      <top style="thin">
        <color rgb="FFD5DDE3"/>
      </top>
      <bottom style="thin">
        <color rgb="FFD5DDE3"/>
      </bottom>
      <diagonal/>
    </border>
    <border>
      <left/>
      <right/>
      <top style="thin">
        <color rgb="FFD5DDE3"/>
      </top>
      <bottom style="thin">
        <color rgb="FFD5DDE3"/>
      </bottom>
      <diagonal/>
    </border>
    <border>
      <left/>
      <right style="thin">
        <color rgb="FFD5DDE3"/>
      </right>
      <top style="thin">
        <color rgb="FFD5DDE3"/>
      </top>
      <bottom style="thin">
        <color rgb="FFD5DDE3"/>
      </bottom>
      <diagonal/>
    </border>
    <border>
      <left/>
      <right/>
      <top style="thin">
        <color rgb="FFD5DDE3"/>
      </top>
      <bottom/>
      <diagonal/>
    </border>
    <border>
      <left/>
      <right style="thin">
        <color rgb="FFD5DDE3"/>
      </right>
      <top style="thin">
        <color rgb="FFD5DDE3"/>
      </top>
      <bottom/>
      <diagonal/>
    </border>
  </borders>
  <cellStyleXfs count="2">
    <xf numFmtId="0" fontId="0" fillId="0" borderId="0"/>
    <xf numFmtId="0" fontId="7" fillId="0" borderId="0"/>
  </cellStyleXfs>
  <cellXfs count="17">
    <xf numFmtId="0" fontId="0" fillId="0" borderId="0" pivotButton="0" quotePrefix="0" xfId="0"/>
    <xf numFmtId="0" fontId="5" fillId="6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4" fillId="7" borderId="2" applyAlignment="1" pivotButton="0" quotePrefix="0" xfId="0">
      <alignment vertical="top" wrapText="1"/>
    </xf>
    <xf numFmtId="0" fontId="6" fillId="4" borderId="2" applyAlignment="1" pivotButton="0" quotePrefix="0" xfId="0">
      <alignment vertical="top" wrapText="1"/>
    </xf>
    <xf numFmtId="0" fontId="7" fillId="7" borderId="2" applyAlignment="1" pivotButton="0" quotePrefix="0" xfId="1">
      <alignment vertical="top" wrapText="1"/>
    </xf>
    <xf numFmtId="0" fontId="4" fillId="7" borderId="2" applyAlignment="1" pivotButton="0" quotePrefix="0" xfId="0">
      <alignment horizontal="left" vertical="top" wrapText="1"/>
    </xf>
    <xf numFmtId="0" fontId="2" fillId="3" borderId="1" applyAlignment="1" pivotButton="0" quotePrefix="0" xfId="0">
      <alignment vertical="top" wrapText="1"/>
    </xf>
    <xf numFmtId="0" fontId="0" fillId="0" borderId="3" pivotButton="0" quotePrefix="0" xfId="0"/>
    <xf numFmtId="0" fontId="1" fillId="2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6" borderId="2" applyAlignment="1" pivotButton="0" quotePrefix="0" xfId="0">
      <alignment vertical="top" wrapText="1"/>
    </xf>
    <xf numFmtId="0" fontId="0" fillId="0" borderId="4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F8A"/>
      <rgbColor rgb="FFC0C0C0"/>
      <rgbColor rgb="FF808080"/>
      <rgbColor rgb="FF9999FF"/>
      <rgbColor rgb="FF993366"/>
      <rgbColor rgb="FFFFF4C7"/>
      <rgbColor rgb="FFE7F5F3"/>
      <rgbColor rgb="FF660066"/>
      <rgbColor rgb="FFFF8080"/>
      <rgbColor rgb="FF0066CC"/>
      <rgbColor rgb="FFD5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5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8"/>
      <rgbColor rgb="FF969696"/>
      <rgbColor rgb="FF12324D"/>
      <rgbColor rgb="FF339966"/>
      <rgbColor rgb="FF0B1B2B"/>
      <rgbColor rgb="FF333300"/>
      <rgbColor rgb="FF993300"/>
      <rgbColor rgb="FF993366"/>
      <rgbColor rgb="FF333399"/>
      <rgbColor rgb="FF1421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shanmathi081@gmail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zoomScaleNormal="100" workbookViewId="0">
      <selection activeCell="A1" sqref="A1:C1"/>
    </sheetView>
  </sheetViews>
  <sheetFormatPr baseColWidth="8" defaultColWidth="8.6640625" defaultRowHeight="14.4"/>
  <cols>
    <col width="6" customWidth="1" min="1" max="1"/>
    <col width="96" customWidth="1" min="2" max="2"/>
    <col width="16" customWidth="1" min="3" max="3"/>
  </cols>
  <sheetData>
    <row r="1" ht="24" customHeight="1">
      <c r="A1" s="13" t="inlineStr">
        <is>
          <t>IncuBrix Engineering Assessment 3 | Script and Voiceover to B-roll Video Engine | Submission Form</t>
        </is>
      </c>
      <c r="B1" s="12" t="n"/>
      <c r="C1" s="12" t="n"/>
    </row>
    <row r="2" ht="31.5" customHeight="1">
      <c r="A2" s="11" t="inlineStr">
        <is>
          <t>This form is how you show us what you built. Fill it as you work. We verify every claim, so be precise.</t>
        </is>
      </c>
      <c r="B2" s="12" t="n"/>
      <c r="C2" s="12" t="n"/>
    </row>
    <row r="4" ht="19.5" customHeight="1">
      <c r="A4" s="2" t="n">
        <v>1</v>
      </c>
      <c r="B4" s="3" t="inlineStr">
        <is>
          <t>Read the assessment brief (PDF) first.</t>
        </is>
      </c>
    </row>
    <row r="5" ht="19.5" customHeight="1">
      <c r="A5" s="2" t="n">
        <v>2</v>
      </c>
      <c r="B5" s="3" t="inlineStr">
        <is>
          <t>1_Your_Details: your contact details and all links.</t>
        </is>
      </c>
    </row>
    <row r="6" ht="19.5" customHeight="1">
      <c r="A6" s="2" t="n">
        <v>3</v>
      </c>
      <c r="B6" s="3" t="inlineStr">
        <is>
          <t>2_Must_haves: mark each must-have Yes or No with evidence. Every one must pass to be selected.</t>
        </is>
      </c>
    </row>
    <row r="7" ht="19.5" customHeight="1">
      <c r="A7" s="2" t="n">
        <v>4</v>
      </c>
      <c r="B7" s="3" t="inlineStr">
        <is>
          <t>3_Levels: mark each item Yes / Partial / No with evidence. The level you reached is calculated for you.</t>
        </is>
      </c>
    </row>
    <row r="8" ht="19.5" customHeight="1">
      <c r="A8" s="2" t="n">
        <v>5</v>
      </c>
      <c r="B8" s="3" t="inlineStr">
        <is>
          <t>4_Integration: mark each Integration Standard point with evidence.</t>
        </is>
      </c>
    </row>
    <row r="9" ht="19.5" customHeight="1">
      <c r="A9" s="2" t="n">
        <v>6</v>
      </c>
      <c r="B9" s="3" t="inlineStr">
        <is>
          <t>5_Metrics: enter your measured numbers.  6_Hard_cases: say how your system handles each situation.</t>
        </is>
      </c>
    </row>
    <row r="10" ht="19.5" customHeight="1">
      <c r="A10" s="2" t="n">
        <v>7</v>
      </c>
      <c r="B10" s="3" t="inlineStr">
        <is>
          <t>7_Declaration: answer every statement and sign.</t>
        </is>
      </c>
    </row>
    <row r="11" ht="19.5" customHeight="1">
      <c r="A11" s="2" t="n">
        <v>8</v>
      </c>
      <c r="B11" s="3" t="inlineStr">
        <is>
          <t>Save as Assessment3_YourName.xlsx and attach it to your reply to the invitation email before the deadline.</t>
        </is>
      </c>
    </row>
    <row r="13">
      <c r="B13" s="4" t="inlineStr">
        <is>
          <t>Colour key: YELLOW = you fill in.  GREEN = calculated automatically.  GREY = instructions or example.</t>
        </is>
      </c>
    </row>
    <row r="15">
      <c r="B15" s="5" t="inlineStr">
        <is>
          <t>Your self-check (updates as you fill the form)</t>
        </is>
      </c>
      <c r="C15" s="6" t="n"/>
    </row>
    <row r="16">
      <c r="B16" s="4" t="inlineStr">
        <is>
          <t>Must-haves marked Yes</t>
        </is>
      </c>
      <c r="C16" s="15">
        <f>COUNTIF('2_Must_haves'!C6:C13,"Yes")&amp;" of 8"</f>
        <v/>
      </c>
    </row>
    <row r="17">
      <c r="B17" s="4" t="inlineStr">
        <is>
          <t>Level reached</t>
        </is>
      </c>
      <c r="C17" s="15">
        <f>'3_Levels'!C17</f>
        <v/>
      </c>
    </row>
    <row r="18">
      <c r="B18" s="4" t="inlineStr">
        <is>
          <t>Level marks claimed (40)</t>
        </is>
      </c>
      <c r="C18" s="15">
        <f>'3_Levels'!C18</f>
        <v/>
      </c>
    </row>
    <row r="19">
      <c r="B19" s="4" t="inlineStr">
        <is>
          <t>Integration marks claimed (20)</t>
        </is>
      </c>
      <c r="C19" s="15">
        <f>'4_Integration'!C15</f>
        <v/>
      </c>
    </row>
    <row r="20">
      <c r="B20" s="4" t="inlineStr">
        <is>
          <t>Self-assessed marks before our checks (60)</t>
        </is>
      </c>
      <c r="C20" s="15">
        <f>'3_Levels'!C18+'4_Integration'!C15</f>
        <v/>
      </c>
    </row>
    <row r="22" ht="43.5" customHeight="1">
      <c r="B22" s="14" t="inlineStr">
        <is>
          <t>We then verify your claims and add up to 20 marks for 5 hidden tests (screening total 80). Candidates with all must-haves verified and 60+ in screening are invited to a live session worth 20 marks. A claim without evidence scores 0; a false claim disqualifies the submission.</t>
        </is>
      </c>
      <c r="C22" s="12" t="n"/>
    </row>
  </sheetData>
  <mergeCells count="3">
    <mergeCell ref="A1:C1"/>
    <mergeCell ref="B22:C22"/>
    <mergeCell ref="A2:C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topLeftCell="A3" zoomScaleNormal="100" workbookViewId="0">
      <selection activeCell="B13" sqref="B13"/>
    </sheetView>
  </sheetViews>
  <sheetFormatPr baseColWidth="8" defaultColWidth="8.6640625" defaultRowHeight="14.4"/>
  <cols>
    <col width="34" customWidth="1" min="1" max="1"/>
    <col width="70" customWidth="1" min="2" max="2"/>
  </cols>
  <sheetData>
    <row r="1" ht="24" customHeight="1">
      <c r="A1" s="13" t="inlineStr">
        <is>
          <t>IncuBrix Assessment 3 | Submission Form | Script and Voiceover to B-roll Video Engine</t>
        </is>
      </c>
      <c r="B1" s="12" t="n"/>
    </row>
    <row r="2" ht="31.5" customHeight="1">
      <c r="A2" s="11" t="inlineStr">
        <is>
          <t>Fill every YELLOW cell. Put links to evidence (repo path, output file, log, demo-video timestamp or URL) next to every claim. Save as Assessment3_&lt;YourName&gt;.xlsx and attach it to your reply email.</t>
        </is>
      </c>
      <c r="B2" s="12" t="n"/>
    </row>
    <row r="4" ht="19.5" customHeight="1">
      <c r="A4" s="4" t="inlineStr">
        <is>
          <t>Full name</t>
        </is>
      </c>
      <c r="B4" s="7" t="inlineStr">
        <is>
          <t>SHANMATHI N</t>
        </is>
      </c>
    </row>
    <row r="5" ht="19.5" customHeight="1">
      <c r="A5" s="4" t="inlineStr">
        <is>
          <t>Email</t>
        </is>
      </c>
      <c r="B5" s="9" t="inlineStr">
        <is>
          <t>shanmathi081@gmail.com</t>
        </is>
      </c>
    </row>
    <row r="6" ht="19.5" customHeight="1">
      <c r="A6" s="4" t="inlineStr">
        <is>
          <t>Phone</t>
        </is>
      </c>
      <c r="B6" s="10" t="n">
        <v>6374336523</v>
      </c>
    </row>
    <row r="7" ht="19.5" customHeight="1">
      <c r="A7" s="4" t="inlineStr">
        <is>
          <t>College and degree</t>
        </is>
      </c>
      <c r="B7" s="7" t="inlineStr">
        <is>
          <t>Thiagarajar College of Engineering Degree: B.Tech(Information Technology)</t>
        </is>
      </c>
    </row>
    <row r="8" ht="19.5" customHeight="1">
      <c r="A8" s="4" t="inlineStr">
        <is>
          <t>Graduation year</t>
        </is>
      </c>
      <c r="B8" s="10" t="n">
        <v>2027</v>
      </c>
    </row>
    <row r="9" ht="19.5" customHeight="1">
      <c r="A9" s="4" t="inlineStr">
        <is>
          <t>Live demo URL</t>
        </is>
      </c>
      <c r="B9" s="7" t="inlineStr">
        <is>
          <t>Local development demo: http://127.0.0.1:5173. Public deployment is pending; replace this with the hosted URL before submission.</t>
        </is>
      </c>
    </row>
    <row r="10" ht="19.5" customHeight="1">
      <c r="A10" s="4" t="inlineStr">
        <is>
          <t>Live demo access token or login (if protected)</t>
        </is>
      </c>
      <c r="B10" s="7" t="inlineStr">
        <is>
          <t>Not applicable to the local demo; no reviewer login/token configured.</t>
        </is>
      </c>
    </row>
    <row r="11" ht="19.5" customHeight="1">
      <c r="A11" s="4" t="inlineStr">
        <is>
          <t>Cold-start wait time (if any)</t>
        </is>
      </c>
      <c r="B11" s="7" t="inlineStr">
        <is>
          <t>Cold-start time has not been benchmarked. Measure after public deployment; local startup instructions are in README.md.</t>
        </is>
      </c>
    </row>
    <row r="12" ht="19.5" customHeight="1">
      <c r="A12" s="4" t="inlineStr">
        <is>
          <t>Repository URL (private, reviewer invited)</t>
        </is>
      </c>
      <c r="B12" s="7" t="inlineStr">
        <is>
          <t>GitHub repository URL pending. Add the repository link and grant reviewer access after pushing the project.</t>
        </is>
      </c>
    </row>
    <row r="13" ht="19.5" customHeight="1">
      <c r="A13" s="4" t="inlineStr">
        <is>
          <t>Demo video URL (max 8 min, unedited)</t>
        </is>
      </c>
      <c r="B13" s="7" t="inlineStr">
        <is>
          <t>Demo video URL pending. Add the unedited video link after recording and publishing it.</t>
        </is>
      </c>
    </row>
    <row r="14" ht="19.5" customHeight="1">
      <c r="A14" s="4" t="inlineStr">
        <is>
          <t>REPORT.md link</t>
        </is>
      </c>
      <c r="B14" s="7" t="inlineStr">
        <is>
          <t>No standalone REPORT.md. Runtime validation evidence is in runtime-validation-report.md (tests, frontend build, browser workflow, and 10-input evaluation).</t>
        </is>
      </c>
    </row>
    <row r="15" ht="19.5" customHeight="1">
      <c r="A15" s="4" t="inlineStr">
        <is>
          <t>Compute used (laptop / cloud / GPU, with specs)</t>
        </is>
      </c>
      <c r="B15" s="7" t="inlineStr">
        <is>
          <t>Laptop; exact model, RAM, and GPU details were not recorded.</t>
        </is>
      </c>
    </row>
    <row r="16" ht="19.5" customHeight="1">
      <c r="A16" s="4" t="inlineStr">
        <is>
          <t>Paid services used and total cost</t>
        </is>
      </c>
      <c r="B16" s="7" t="inlineStr">
        <is>
          <t>Total cost was not measured. Confirm whether any paid services or API usage apply before submission.</t>
        </is>
      </c>
    </row>
    <row r="17" ht="19.5" customHeight="1">
      <c r="A17" s="4" t="inlineStr">
        <is>
          <t>AI coding tools used (details in AI_USE.md)</t>
        </is>
      </c>
      <c r="B17" s="7" t="inlineStr">
        <is>
          <t>GitHub Copilot SDK in VS Code assisted with development. Complete the AI tool/model/API disclosure and add AI_USE.md if required by the assessment.</t>
        </is>
      </c>
    </row>
    <row r="18" ht="19.5" customHeight="1">
      <c r="A18" s="4" t="inlineStr">
        <is>
          <t>Approximate hours spent</t>
        </is>
      </c>
      <c r="B18" s="7" t="inlineStr">
        <is>
          <t>Not tracked; enter your own estimate.</t>
        </is>
      </c>
    </row>
  </sheetData>
  <mergeCells count="2">
    <mergeCell ref="A2:B2"/>
    <mergeCell ref="A1:B1"/>
  </mergeCells>
  <hyperlinks>
    <hyperlink xmlns:r="http://schemas.openxmlformats.org/officeDocument/2006/relationships" ref="B5" r:id="rId1"/>
  </hyperlink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topLeftCell="A8" zoomScaleNormal="100" workbookViewId="0">
      <selection activeCell="A1" sqref="A1:E1"/>
    </sheetView>
  </sheetViews>
  <sheetFormatPr baseColWidth="8" defaultColWidth="8.6640625" defaultRowHeight="14.4"/>
  <cols>
    <col width="5" customWidth="1" min="1" max="1"/>
    <col width="60" customWidth="1" min="2" max="2"/>
    <col width="10" customWidth="1" min="3" max="3"/>
    <col width="50" customWidth="1" min="4" max="4"/>
    <col width="36" customWidth="1" min="5" max="5"/>
  </cols>
  <sheetData>
    <row r="1" ht="24" customHeight="1">
      <c r="A1" s="13" t="inlineStr">
        <is>
          <t>Must-haves - every one must pass</t>
        </is>
      </c>
      <c r="B1" s="12" t="n"/>
      <c r="C1" s="12" t="n"/>
      <c r="D1" s="12" t="n"/>
      <c r="E1" s="12" t="n"/>
    </row>
    <row r="2" ht="31.5" customHeight="1">
      <c r="A2" s="11" t="inlineStr">
        <is>
          <t>Mark Met = Yes only if it fully works. Give links that let us check it in minutes.</t>
        </is>
      </c>
      <c r="B2" s="12" t="n"/>
      <c r="C2" s="12" t="n"/>
      <c r="D2" s="12" t="n"/>
      <c r="E2" s="12" t="n"/>
    </row>
    <row r="4" ht="30" customHeight="1">
      <c r="A4" s="5" t="inlineStr">
        <is>
          <t>#</t>
        </is>
      </c>
      <c r="B4" s="5" t="inlineStr">
        <is>
          <t>Must-have</t>
        </is>
      </c>
      <c r="C4" s="5" t="inlineStr">
        <is>
          <t>Met?</t>
        </is>
      </c>
      <c r="D4" s="5" t="inlineStr">
        <is>
          <t>Evidence links (files, logs, tests, video timestamp)</t>
        </is>
      </c>
      <c r="E4" s="5" t="inlineStr">
        <is>
          <t>Notes / limits</t>
        </is>
      </c>
    </row>
    <row r="5" ht="26.4" customHeight="1">
      <c r="A5" s="8" t="inlineStr">
        <is>
          <t>Ex.</t>
        </is>
      </c>
      <c r="B5" s="8" t="inlineStr">
        <is>
          <t>Example row - shows the expected format (do not edit)</t>
        </is>
      </c>
      <c r="C5" s="8" t="inlineStr">
        <is>
          <t>Yes</t>
        </is>
      </c>
      <c r="D5" s="8" t="inlineStr">
        <is>
          <t>repo/tests/test_length.py ; outputs/run_07/manifest.json ; demo video 02:15</t>
        </is>
      </c>
      <c r="E5" s="8" t="inlineStr">
        <is>
          <t>Fails above 290 s - see REPORT.md section 4</t>
        </is>
      </c>
    </row>
    <row r="6" ht="42" customHeight="1">
      <c r="A6" s="3" t="n">
        <v>1</v>
      </c>
      <c r="B6" s="3" t="inlineStr">
        <is>
          <t>Both inputs work: audio (mp3, wav, m4a, up to 10 minutes) and text (you generate the narration).
We verify: We submit both on the live demo.</t>
        </is>
      </c>
      <c r="C6" s="7" t="inlineStr">
        <is>
          <t>No</t>
        </is>
      </c>
      <c r="D6" s="7" t="inlineStr">
        <is>
          <t>app/main.py; app/pipeline.py; app/models.py; README.md; tests/test_api.py</t>
        </is>
      </c>
      <c r="E6" s="7" t="inlineStr">
        <is>
          <t>Text jobs generate local pyttsx3 narration; uploads accept MP3, WAV, and M4A. Genuine transcription is not bundled, so uploaded audio needs a timestamped transcript unless an STT adapter is configured; the 10-minute limit was not verified.</t>
        </is>
      </c>
    </row>
    <row r="7" ht="69.75" customHeight="1">
      <c r="A7" s="3" t="n">
        <v>2</v>
      </c>
      <c r="B7" s="3" t="inlineStr">
        <is>
          <t>Scenes by meaning, timed to the voice. Scene changes fall on sentence or phrase boundaries; every second of narration is covered; the narration sets the timing, not the clips.
We verify: We check timeline.json against the transcript and watch the videos.</t>
        </is>
      </c>
      <c r="C7" s="7" t="inlineStr">
        <is>
          <t>No</t>
        </is>
      </c>
      <c r="D7" s="7" t="inlineStr">
        <is>
          <t>app/pipeline.py; data/jobs/9a25d4a3ba3b48529717add67b499075/timeline.json; .../manifest.json</t>
        </is>
      </c>
      <c r="E7" s="7" t="inlineStr">
        <is>
          <t>The verified sample timeline spans the narration and produces timed scene outputs. Structured scenes and SRT timing are implemented; sentence/meaning-aligned boundaries were not independently verified, and the sample manifest records STT as mock.</t>
        </is>
      </c>
    </row>
    <row r="8" ht="55.5" customHeight="1">
      <c r="A8" s="3" t="n">
        <v>3</v>
      </c>
      <c r="B8" s="3" t="inlineStr">
        <is>
          <t>Every clip is licence-clean. Source, licence, attribution and link are recorded per clip; all allow commercial use; no watermarked footage; AI-generated clips are flagged.
We verify: We check every clip in timeline.json.</t>
        </is>
      </c>
      <c r="C8" s="7" t="inlineStr">
        <is>
          <t>No</t>
        </is>
      </c>
      <c r="D8" s="7" t="inlineStr">
        <is>
          <t>SOURCES.md; data/jobs/9a25d4a3ba3b48529717add67b499075/timeline.json</t>
        </is>
      </c>
      <c r="E8" s="7" t="inlineStr">
        <is>
          <t>The Pixabay sample records source/provider and available attribution metadata. The manifest explicitly asks users to verify provider terms; per-clip commercial clearance is not asserted.</t>
        </is>
      </c>
    </row>
    <row r="9" ht="55.5" customHeight="1">
      <c r="A9" s="3" t="n">
        <v>4</v>
      </c>
      <c r="B9" s="3" t="inlineStr">
        <is>
          <t>Correct, consistent video. All requested aspect ratios; every clip normalised (resolution, frame rate, pixel format); no black frames, frozen frames or audio drift.
We verify: Automated checks on every output file.</t>
        </is>
      </c>
      <c r="C9" s="7" t="inlineStr">
        <is>
          <t>No</t>
        </is>
      </c>
      <c r="D9" s="7" t="inlineStr">
        <is>
          <t>app/pipeline.py; tests/test_api.py; data/jobs/9a25d4a3ba3b48529717add67b499075/manifest.json</t>
        </is>
      </c>
      <c r="E9" s="7" t="inlineStr">
        <is>
          <t>FFprobe-validated examples include a 1280x720 H.264/AAC 16:9 output and a 720x1280 H.264/AAC 9:16 output. The 16:9 sample also passed visual-motion checks. All requested ratios and every quality condition were not verified together in one job.</t>
        </is>
      </c>
    </row>
    <row r="10" ht="55.5" customHeight="1">
      <c r="A10" s="3" t="n">
        <v>5</v>
      </c>
      <c r="B10" s="3" t="inlineStr">
        <is>
          <t>No repeats and no nonsense matches. No clip is used twice in one video; footage matches the meaning, not just a keyword.
We verify: We watch every scene and score relevance 1-5.</t>
        </is>
      </c>
      <c r="C10" s="7" t="inlineStr">
        <is>
          <t>No</t>
        </is>
      </c>
      <c r="D10" s="7" t="inlineStr">
        <is>
          <t>app/pipeline.py; tests/test_api.py; data/jobs/9a25d4a3ba3b48529717add67b499075/timeline.json</t>
        </is>
      </c>
      <c r="E10" s="7" t="inlineStr">
        <is>
          <t>Duplicate avoidance is implemented; the five-scene sample uses five distinct clips. Ranking is deterministic token/tag overlap rather than semantic relevance, and no human relevance ratings have been collected.</t>
        </is>
      </c>
    </row>
    <row r="11" ht="55.5" customHeight="1">
      <c r="A11" s="3" t="n">
        <v>6</v>
      </c>
      <c r="B11" s="3" t="inlineStr">
        <is>
          <t>Safe output. No AI-generated realistic faces of real people; no invented brand logos; respectful footage for sensitive topics.
We verify: Hard cases include named people, brands and sad news.</t>
        </is>
      </c>
      <c r="C11" s="7" t="inlineStr">
        <is>
          <t>No</t>
        </is>
      </c>
      <c r="D11" s="7" t="inlineStr">
        <is>
          <t>app/pipeline.py; README.md; SOURCES.md</t>
        </is>
      </c>
      <c r="E11" s="7" t="inlineStr">
        <is>
          <t>The pipeline uses provider-sourced footage and records available source information. Named-person, likeness, logo, and sensitive-content safeguards are not evidenced, so review each output before use.</t>
        </is>
      </c>
    </row>
    <row r="12" ht="55.5" customHeight="1">
      <c r="A12" s="3" t="n">
        <v>7</v>
      </c>
      <c r="B12" s="3" t="inlineStr">
        <is>
          <t>Resilient jobs. Jobs run in the background with progress; if one footage source fails, the job still finishes using another source or a fallback.
We verify: We switch a source off during a job.</t>
        </is>
      </c>
      <c r="C12" s="7" t="inlineStr">
        <is>
          <t>No</t>
        </is>
      </c>
      <c r="D12" s="7" t="inlineStr">
        <is>
          <t>app/main.py; tests/test_api.py</t>
        </is>
      </c>
      <c r="E12" s="7" t="inlineStr">
        <is>
          <t>Jobs return HTTP 202 and expose status/progress; idempotency support and provider-failure paths are covered by tests. A durable queue, independent-worker recovery, and guaranteed fallback to another source are not implemented/verified.</t>
        </is>
      </c>
    </row>
    <row r="13" ht="42" customHeight="1">
      <c r="A13" s="3" t="n">
        <v>8</v>
      </c>
      <c r="B13" s="3" t="inlineStr">
        <is>
          <t>Integration Standard followed and the live demo works for the whole review period.
We verify: See the Integration Standard section.</t>
        </is>
      </c>
      <c r="C13" s="7" t="inlineStr">
        <is>
          <t>No</t>
        </is>
      </c>
      <c r="D13" s="7" t="inlineStr">
        <is>
          <t>README.md</t>
        </is>
      </c>
      <c r="E13" s="7" t="inlineStr">
        <is>
          <t>The local React studio and API have been exercised; a public reviewer-accessible URL is still pending deployment.</t>
        </is>
      </c>
    </row>
  </sheetData>
  <mergeCells count="2">
    <mergeCell ref="A2:E2"/>
    <mergeCell ref="A1:E1"/>
  </mergeCells>
  <dataValidations count="1">
    <dataValidation sqref="C6:C13" showDropDown="0" showInputMessage="0" showErrorMessage="0" allowBlank="1" type="list">
      <formula1>"Yes,No"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topLeftCell="A10" zoomScaleNormal="100" workbookViewId="0">
      <selection activeCell="D9" sqref="D9"/>
    </sheetView>
  </sheetViews>
  <sheetFormatPr baseColWidth="8" defaultColWidth="8.6640625" defaultRowHeight="14.4"/>
  <cols>
    <col width="14" customWidth="1" min="1" max="1"/>
    <col width="62" customWidth="1" min="2" max="2"/>
    <col width="11" customWidth="1" min="3" max="3"/>
    <col width="44" customWidth="1" min="4" max="4"/>
    <col width="34" customWidth="1" min="5" max="5"/>
  </cols>
  <sheetData>
    <row r="1" ht="24" customHeight="1">
      <c r="A1" s="13" t="inlineStr">
        <is>
          <t>Levels you reached</t>
        </is>
      </c>
      <c r="B1" s="12" t="n"/>
      <c r="C1" s="12" t="n"/>
      <c r="D1" s="12" t="n"/>
      <c r="E1" s="12" t="n"/>
    </row>
    <row r="2" ht="31.5" customHeight="1">
      <c r="A2" s="11" t="inlineStr">
        <is>
          <t>A level counts only if every item in it is Yes, and only if the level before it counts. Core 15 marks, Advanced 15, Outstanding 10.</t>
        </is>
      </c>
      <c r="B2" s="12" t="n"/>
      <c r="C2" s="12" t="n"/>
      <c r="D2" s="12" t="n"/>
      <c r="E2" s="12" t="n"/>
    </row>
    <row r="4" ht="30" customHeight="1">
      <c r="A4" s="5" t="inlineStr">
        <is>
          <t>Level</t>
        </is>
      </c>
      <c r="B4" s="5" t="inlineStr">
        <is>
          <t>Item</t>
        </is>
      </c>
      <c r="C4" s="5" t="inlineStr">
        <is>
          <t>Done?</t>
        </is>
      </c>
      <c r="D4" s="5" t="inlineStr">
        <is>
          <t>Evidence links</t>
        </is>
      </c>
      <c r="E4" s="5" t="inlineStr">
        <is>
          <t>How we can see it (command, URL, file)</t>
        </is>
      </c>
    </row>
    <row r="5" ht="19.5" customHeight="1">
      <c r="A5" s="4" t="inlineStr">
        <is>
          <t>Core</t>
        </is>
      </c>
      <c r="B5" s="3" t="inlineStr">
        <is>
          <t>All must-haves pass.</t>
        </is>
      </c>
      <c r="C5" s="7" t="inlineStr">
        <is>
          <t>No</t>
        </is>
      </c>
      <c r="D5" s="7" t="inlineStr">
        <is>
          <t>2_Must_haves rows 6-13</t>
        </is>
      </c>
      <c r="E5" s="7" t="inlineStr">
        <is>
          <t>Core requires every must-have to pass; several are not fully met or evidenced.</t>
        </is>
      </c>
    </row>
    <row r="6" ht="42" customHeight="1">
      <c r="A6" s="4" t="inlineStr">
        <is>
          <t>Core</t>
        </is>
      </c>
      <c r="B6" s="3" t="inlineStr">
        <is>
          <t>10 varied inputs (for example a tutorial, a news summary, a product promo, a story; different accents; 20 seconds to 5 minutes) all produce usable videos.</t>
        </is>
      </c>
      <c r="C6" s="7" t="inlineStr">
        <is>
          <t>Partial</t>
        </is>
      </c>
      <c r="D6" s="7" t="inlineStr">
        <is>
          <t>scripts/evaluate.py; evaluation_inputs.json; data/evaluation_results.csv; runtime-validation-report.md</t>
        </is>
      </c>
      <c r="E6" s="7" t="inlineStr">
        <is>
          <t>The 10-input evaluation completed all 10 jobs and all 10 automated checks passed. The inputs are short English scripts; different accents and the full 20-second-to-5-minute range were not verified.</t>
        </is>
      </c>
    </row>
    <row r="7" ht="27.75" customHeight="1">
      <c r="A7" s="4" t="inlineStr">
        <is>
          <t>Core</t>
        </is>
      </c>
      <c r="B7" s="3" t="inlineStr">
        <is>
          <t>Average relevance of at least 3.5 out of 5 from our reviewers on your 10 test videos.</t>
        </is>
      </c>
      <c r="C7" s="7" t="inlineStr">
        <is>
          <t>No</t>
        </is>
      </c>
      <c r="D7" s="7" t="inlineStr">
        <is>
          <t>data/jobs/9a25d4a3ba3b48529717add67b499075/timeline.json</t>
        </is>
      </c>
      <c r="E7" s="7" t="inlineStr">
        <is>
          <t>No independent human scene-relevance ratings or 3.5/5 average were collected.</t>
        </is>
      </c>
    </row>
    <row r="8" ht="55.5" customHeight="1">
      <c r="A8" s="4" t="inlineStr">
        <is>
          <t>Advanced</t>
        </is>
      </c>
      <c r="B8" s="3" t="inlineStr">
        <is>
          <t>At least two footage sources (for example a stock library and a generative video or image-to-video model) with a written, measurable rule for choosing between them, and the reason for each choice stored in timeline.json.</t>
        </is>
      </c>
      <c r="C8" s="7" t="inlineStr">
        <is>
          <t>Partial</t>
        </is>
      </c>
      <c r="D8" s="7" t="inlineStr">
        <is>
          <t>app/pipeline.py; tests/test_api.py; SOURCES.md</t>
        </is>
      </c>
      <c r="E8" s="7" t="inlineStr">
        <is>
          <t>app/pipeline.py; app/config.py; tests/test_api.py; SOURCES.md</t>
        </is>
      </c>
    </row>
    <row r="9" ht="42" customHeight="1">
      <c r="A9" s="4" t="inlineStr">
        <is>
          <t>Advanced</t>
        </is>
      </c>
      <c r="B9" s="3" t="inlineStr">
        <is>
          <t>Swap a clip: the user replaces one scene's clip and only the affected part is re-rendered, in clearly less time than a full render.</t>
        </is>
      </c>
      <c r="C9" s="7" t="inlineStr">
        <is>
          <t>No</t>
        </is>
      </c>
      <c r="D9" s="7" t="inlineStr">
        <is>
          <t>frontend/; app/main.py</t>
        </is>
      </c>
      <c r="E9" s="7" t="inlineStr">
        <is>
          <t>No user-facing clip replacement and scene-only rerender workflow was verified.</t>
        </is>
      </c>
    </row>
    <row r="10" ht="42" customHeight="1">
      <c r="A10" s="4" t="inlineStr">
        <is>
          <t>Advanced</t>
        </is>
      </c>
      <c r="B10" s="3" t="inlineStr">
        <is>
          <t>Looks like one video: colour and brightness normalised across sources; sensible pacing (no flashing 0.5-second clips).</t>
        </is>
      </c>
      <c r="C10" s="7" t="inlineStr">
        <is>
          <t>Partial</t>
        </is>
      </c>
      <c r="D10" s="7" t="inlineStr">
        <is>
          <t>app/pipeline.py; data/jobs/9a25d4a3ba3b48529717add67b499075/manifest.json</t>
        </is>
      </c>
      <c r="E10" s="7" t="inlineStr">
        <is>
          <t>A consistent grade and slow zoom/pan are implemented. Crossfades and measured scene-to-scene colour/brightness consistency are not evidenced.</t>
        </is>
      </c>
    </row>
    <row r="11" ht="27.75" customHeight="1">
      <c r="A11" s="4" t="inlineStr">
        <is>
          <t>Advanced</t>
        </is>
      </c>
      <c r="B11" s="3" t="inlineStr">
        <is>
          <t>Accepts IncuBrix scene lists (text plus visual hint per scene).</t>
        </is>
      </c>
      <c r="C11" s="7" t="inlineStr">
        <is>
          <t>Yes</t>
        </is>
      </c>
      <c r="D11" s="7" t="inlineStr">
        <is>
          <t>app/models.py; app/main.py; app/pipeline.py</t>
        </is>
      </c>
      <c r="E11" s="7" t="inlineStr">
        <is>
          <t>The API accepts structured scenes with narration and optional visual_hint and routes them through the pipeline.</t>
        </is>
      </c>
    </row>
    <row r="12" ht="42" customHeight="1">
      <c r="A12" s="4" t="inlineStr">
        <is>
          <t>Outstanding</t>
        </is>
      </c>
      <c r="B12" s="3" t="inlineStr">
        <is>
          <t>Measured relevance: an independent vision-language model scores each clip against its narration, and you show how well that score agrees with human ratings.</t>
        </is>
      </c>
      <c r="C12" s="7" t="inlineStr">
        <is>
          <t>No</t>
        </is>
      </c>
      <c r="D12" s="7" t="inlineStr">
        <is>
          <t>app/pipeline.py; data/jobs/9a25d4a3ba3b48529717add67b499075/manifest.json</t>
        </is>
      </c>
      <c r="E12" s="7" t="inlineStr">
        <is>
          <t>No independent vision-language relevance scoring is implemented or recorded.</t>
        </is>
      </c>
    </row>
    <row r="13" ht="27.75" customHeight="1">
      <c r="A13" s="4" t="inlineStr">
        <is>
          <t>Outstanding</t>
        </is>
      </c>
      <c r="B13" s="3" t="inlineStr">
        <is>
          <t>Multilingual narration: Hindi and Tamil voiceovers work as well as English.</t>
        </is>
      </c>
      <c r="C13" s="7" t="inlineStr">
        <is>
          <t>No</t>
        </is>
      </c>
      <c r="D13" s="7" t="inlineStr">
        <is>
          <t>app/config.py; README.md</t>
        </is>
      </c>
      <c r="E13" s="7" t="inlineStr">
        <is>
          <t>Hindi and Tamil narration were not verified; the demonstrated local voice provider is pyttsx3.</t>
        </is>
      </c>
    </row>
    <row r="14" ht="42" customHeight="1">
      <c r="A14" s="4" t="inlineStr">
        <is>
          <t>Outstanding</t>
        </is>
      </c>
      <c r="B14" s="3" t="inlineStr">
        <is>
          <t>Production numbers: time and cost to produce one minute of finished video, and how many jobs one server handles at once.</t>
        </is>
      </c>
      <c r="C14" s="7" t="inlineStr">
        <is>
          <t>Partial</t>
        </is>
      </c>
      <c r="D14" s="7" t="inlineStr">
        <is>
          <t>data/jobs/9a25d4a3ba3b48529717add67b499075/manifest.json</t>
        </is>
      </c>
      <c r="E14" s="7" t="inlineStr">
        <is>
          <t>One local run recorded 102.231 s processing for 54.407 s narration and 54.333 s output. Cost, normalized 60-second cold/warm timings, and concurrent server capacity were not measured.</t>
        </is>
      </c>
    </row>
    <row r="15" ht="27.75" customHeight="1">
      <c r="A15" s="4" t="inlineStr">
        <is>
          <t>Outstanding</t>
        </is>
      </c>
      <c r="B15" s="3" t="inlineStr">
        <is>
          <t>At least 85% of scenes rated 4 or 5 out of 5 by our reviewers.</t>
        </is>
      </c>
      <c r="C15" s="7" t="inlineStr">
        <is>
          <t>No</t>
        </is>
      </c>
      <c r="D15" s="7" t="inlineStr">
        <is>
          <t>scripts/evaluate.py; data/jobs/9a25d4a3ba3b48529717add67b499075/timeline.json</t>
        </is>
      </c>
      <c r="E15" s="7" t="inlineStr">
        <is>
          <t>No reviewer dataset confirms at least 85% of scenes rated 4 or 5.</t>
        </is>
      </c>
    </row>
    <row r="17">
      <c r="B17" s="4" t="inlineStr">
        <is>
          <t>Level reached (calculated)</t>
        </is>
      </c>
      <c r="C17" s="15">
        <f>IF(AND(AND(COUNTIF(C5:C7,"Yes")=3,COUNTIF(C8:C11,"Yes")=4),COUNTIF(C12:C15,"Yes")=4),"Outstanding",IF(AND(COUNTIF(C5:C7,"Yes")=3,COUNTIF(C8:C11,"Yes")=4),"Advanced",IF(COUNTIF(C5:C7,"Yes")=3,"Core","Below Core")))</f>
        <v/>
      </c>
      <c r="D17" s="16" t="n"/>
    </row>
    <row r="18">
      <c r="B18" s="4" t="inlineStr">
        <is>
          <t>Level marks claimed (out of 40)</t>
        </is>
      </c>
      <c r="C18" s="15">
        <f>IF(AND(AND(COUNTIF(C5:C7,"Yes")=3,COUNTIF(C8:C11,"Yes")=4),COUNTIF(C12:C15,"Yes")=4),40,IF(AND(COUNTIF(C5:C7,"Yes")=3,COUNTIF(C8:C11,"Yes")=4),30,IF(COUNTIF(C5:C7,"Yes")=3,15,0)))</f>
        <v/>
      </c>
    </row>
  </sheetData>
  <mergeCells count="3">
    <mergeCell ref="A2:E2"/>
    <mergeCell ref="C17:D17"/>
    <mergeCell ref="A1:E1"/>
  </mergeCells>
  <dataValidations count="1">
    <dataValidation sqref="C5:C15" showDropDown="0" showInputMessage="0" showErrorMessage="0" allowBlank="1" type="list">
      <formula1>"Yes,Partial,No"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topLeftCell="A3" zoomScaleNormal="100" workbookViewId="0">
      <selection activeCell="A1" sqref="A1:D1"/>
    </sheetView>
  </sheetViews>
  <sheetFormatPr baseColWidth="8" defaultColWidth="8.6640625" defaultRowHeight="14.4"/>
  <cols>
    <col width="30" customWidth="1" min="1" max="1"/>
    <col width="58" customWidth="1" min="2" max="2"/>
    <col width="11" customWidth="1" min="3" max="3"/>
    <col width="46" customWidth="1" min="4" max="4"/>
  </cols>
  <sheetData>
    <row r="1" ht="24" customHeight="1">
      <c r="A1" s="13" t="inlineStr">
        <is>
          <t>Integration Standard - 2 marks each (20)</t>
        </is>
      </c>
      <c r="B1" s="12" t="n"/>
      <c r="C1" s="12" t="n"/>
      <c r="D1" s="12" t="n"/>
    </row>
    <row r="2" ht="31.5" customHeight="1">
      <c r="A2" s="11" t="inlineStr">
        <is>
          <t>Yes = fully meets it (2), Partial = partly (1), No = missing (0).</t>
        </is>
      </c>
      <c r="B2" s="12" t="n"/>
      <c r="C2" s="12" t="n"/>
      <c r="D2" s="12" t="n"/>
    </row>
    <row r="4" ht="30" customHeight="1">
      <c r="A4" s="5" t="inlineStr">
        <is>
          <t>Point</t>
        </is>
      </c>
      <c r="B4" s="5" t="inlineStr">
        <is>
          <t>What exactly we check</t>
        </is>
      </c>
      <c r="C4" s="5" t="inlineStr">
        <is>
          <t>Done?</t>
        </is>
      </c>
      <c r="D4" s="5" t="inlineStr">
        <is>
          <t>Evidence links</t>
        </is>
      </c>
    </row>
    <row r="5" ht="69.75" customHeight="1">
      <c r="A5" s="4" t="inlineStr">
        <is>
          <t>1. One-command start and test</t>
        </is>
      </c>
      <c r="B5" s="3" t="inlineStr">
        <is>
          <t>docker compose up starts the service and everything it needs (database, storage, local test servers). One command runs all tests (unit, integration and at least one end-to-end) with no API keys. A .env.example lists every setting.</t>
        </is>
      </c>
      <c r="C5" s="7" t="inlineStr">
        <is>
          <t>No</t>
        </is>
      </c>
      <c r="D5" s="7" t="inlineStr">
        <is>
          <t>README.md
The app runs locally on Windows, but the required docker-compose one-command deployment is not provided.</t>
        </is>
      </c>
    </row>
    <row r="6" ht="27.75" customHeight="1">
      <c r="A6" s="4" t="inlineStr">
        <is>
          <t>2. Documented HTTP API</t>
        </is>
      </c>
      <c r="B6" s="3" t="inlineStr">
        <is>
          <t>An openapi.yaml (OpenAPI 3.1) that matches the running service exactly. All routes under /api/v1/.</t>
        </is>
      </c>
      <c r="C6" s="7" t="inlineStr">
        <is>
          <t>No</t>
        </is>
      </c>
      <c r="D6" s="7" t="inlineStr">
        <is>
          <t>app/main.py; README.md
FastAPI exposes generated interactive docs, but no checked-in OpenAPI 3.1 openapi.yaml was verified.</t>
        </is>
      </c>
    </row>
    <row r="7" ht="69.75" customHeight="1">
      <c r="A7" s="4" t="inlineStr">
        <is>
          <t>3. Background jobs</t>
        </is>
      </c>
      <c r="B7" s="3" t="inlineStr">
        <is>
          <t>Anything slower than 2 seconds runs as a job: POST returns 202 with a job_id; GET /api/v1/jobs/{job_id} returns status (queued, running, succeeded, failed), progress 0-100 and result links. Optional callback URL, signed with HMAC-SHA256 in an X-IncuBrix-Signature header.</t>
        </is>
      </c>
      <c r="C7" s="7" t="inlineStr">
        <is>
          <t>Yes</t>
        </is>
      </c>
      <c r="D7" s="7" t="inlineStr">
        <is>
          <t>app/main.py; tests/test_api.py
Job creation returns HTTP 202; job status/progress and isolated output files are exposed.</t>
        </is>
      </c>
    </row>
    <row r="8" ht="42" customHeight="1">
      <c r="A8" s="4" t="inlineStr">
        <is>
          <t>4. Safe retries</t>
        </is>
      </c>
      <c r="B8" s="3" t="inlineStr">
        <is>
          <t>An Idempotency-Key header on every POST: sending the same request twice with the same key returns the same job and never does the work twice.</t>
        </is>
      </c>
      <c r="C8" s="7" t="inlineStr">
        <is>
          <t>Partial</t>
        </is>
      </c>
      <c r="D8" s="7" t="inlineStr">
        <is>
          <t>app/main.py; tests/test_api.py
Idempotency-Key is supported on job creation/upload and duplicate creation returns the existing job; this was not verified across every POST or with external billing.</t>
        </is>
      </c>
    </row>
    <row r="9" ht="42" customHeight="1">
      <c r="A9" s="4" t="inlineStr">
        <is>
          <t>5. Clear errors</t>
        </is>
      </c>
      <c r="B9" s="3" t="inlineStr">
        <is>
          <t>Errors are JSON: {"error": {"code", "message", "retryable", "details"}}. Codes are UPPER_SNAKE_CASE and listed in the README.</t>
        </is>
      </c>
      <c r="C9" s="7" t="inlineStr">
        <is>
          <t>Partial</t>
        </is>
      </c>
      <c r="D9" s="7" t="inlineStr">
        <is>
          <t>app/main.py
Failures are JSON via FastAPI, but not the required stable {error:{code,message,retryable}} contract.</t>
        </is>
      </c>
    </row>
    <row r="10" ht="42" customHeight="1">
      <c r="A10" s="4" t="inlineStr">
        <is>
          <t>6. Configuration</t>
        </is>
      </c>
      <c r="B10" s="3" t="inlineStr">
        <is>
          <t>All settings, paths, model names and limits come from environment variables or a config file. No hard-coded paths or keys.</t>
        </is>
      </c>
      <c r="C10" s="7" t="inlineStr">
        <is>
          <t>Partial</t>
        </is>
      </c>
      <c r="D10" s="7" t="inlineStr">
        <is>
          <t>app/config.py; .env.example; README.md
Provider keys and media paths are configurable. Not every setting/model/limit is demonstrated as fully externalized.</t>
        </is>
      </c>
    </row>
    <row r="11" ht="42" customHeight="1">
      <c r="A11" s="4" t="inlineStr">
        <is>
          <t>7. Files in, files out</t>
        </is>
      </c>
      <c r="B11" s="3" t="inlineStr">
        <is>
          <t>Inputs accepted as an upload or a URL. Outputs saved to S3-compatible storage (MinIO in the compose file is fine) and returned as download links.</t>
        </is>
      </c>
      <c r="C11" s="7" t="inlineStr">
        <is>
          <t>Partial</t>
        </is>
      </c>
      <c r="D11" s="7" t="inlineStr">
        <is>
          <t>app/main.py; README.md
Multipart files and local file downloads are supported; URL ingest and S3-compatible output storage are not evidenced.</t>
        </is>
      </c>
    </row>
    <row r="12" ht="42" customHeight="1">
      <c r="A12" s="4" t="inlineStr">
        <is>
          <t>8. Logs and health</t>
        </is>
      </c>
      <c r="B12" s="3" t="inlineStr">
        <is>
          <t>Structured JSON logs with timestamp, level, job_id and the X-Correlation-Id from the request. GET /health and GET /ready endpoints.</t>
        </is>
      </c>
      <c r="C12" s="7" t="inlineStr">
        <is>
          <t>Partial</t>
        </is>
      </c>
      <c r="D12" s="7" t="inlineStr">
        <is>
          <t>app/main.py; tests/test_api.py
Health/readiness and job progress exist; structured JSON logs with job correlation fields were not verified.</t>
        </is>
      </c>
    </row>
    <row r="13" ht="55.5" customHeight="1">
      <c r="A13" s="4" t="inlineStr">
        <is>
          <t>9. Output manifest</t>
        </is>
      </c>
      <c r="B13" s="3" t="inlineStr">
        <is>
          <t>Every result includes a JSON manifest: which models/providers and versions were used, settings, seed, timings, cost estimate, warnings, and licence/rights information.</t>
        </is>
      </c>
      <c r="C13" s="7" t="inlineStr">
        <is>
          <t>Partial</t>
        </is>
      </c>
      <c r="D13" s="7" t="inlineStr">
        <is>
          <t>app/pipeline.py; data/jobs/9a25d4a3ba3b48529717add67b499075/manifest.json
Manifest records provider/settings, clip metadata, processing time and measured media properties; cost, deterministic seed, and complete model/version details are absent.</t>
        </is>
      </c>
    </row>
    <row r="14" ht="55.5" customHeight="1">
      <c r="A14" s="4" t="inlineStr">
        <is>
          <t>10. Batch runner</t>
        </is>
      </c>
      <c r="B14" s="3" t="inlineStr">
        <is>
          <t>A command-line tool that runs a folder or file of test inputs against the API and writes all results to one folder. We use this to test every submission the same way.</t>
        </is>
      </c>
      <c r="C14" s="7" t="inlineStr">
        <is>
          <t>Partial</t>
        </is>
      </c>
      <c r="D14" s="7" t="inlineStr">
        <is>
          <t>scripts/evaluate.py; evaluation_inputs.json; data/evaluation_results.csv; runtime-validation-report.md
The fixed ten-input batch ran successfully: 10/10 jobs completed and 10/10 automated checks passed. The CLI currently accepts the configured JSON input set rather than arbitrary files/folders.</t>
        </is>
      </c>
    </row>
    <row r="15">
      <c r="B15" s="4" t="inlineStr">
        <is>
          <t>Integration marks claimed (out of 20)</t>
        </is>
      </c>
      <c r="C15" s="15">
        <f>COUNTIF(C5:C14,"Yes")*2+COUNTIF(C5:C14,"Partial")</f>
        <v/>
      </c>
    </row>
  </sheetData>
  <mergeCells count="2">
    <mergeCell ref="A1:D1"/>
    <mergeCell ref="A2:D2"/>
  </mergeCells>
  <dataValidations count="1">
    <dataValidation sqref="C5:C14" showDropDown="0" showInputMessage="0" showErrorMessage="0" allowBlank="1" type="list">
      <formula1>"Yes,Partial,No"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topLeftCell="A2" zoomScaleNormal="100" workbookViewId="0">
      <selection activeCell="D10" sqref="D10"/>
    </sheetView>
  </sheetViews>
  <sheetFormatPr baseColWidth="8" defaultColWidth="8.6640625" defaultRowHeight="14.4"/>
  <cols>
    <col width="28" customWidth="1" min="1" max="1"/>
    <col width="50" customWidth="1" min="2" max="2"/>
    <col width="20" customWidth="1" min="3" max="3"/>
    <col width="34" customWidth="1" min="4" max="4"/>
    <col width="40" customWidth="1" min="5" max="5"/>
  </cols>
  <sheetData>
    <row r="1" ht="24" customHeight="1">
      <c r="A1" s="13" t="inlineStr">
        <is>
          <t>Measured numbers</t>
        </is>
      </c>
      <c r="B1" s="12" t="n"/>
      <c r="C1" s="12" t="n"/>
      <c r="D1" s="12" t="n"/>
      <c r="E1" s="12" t="n"/>
    </row>
    <row r="2" ht="31.5" customHeight="1">
      <c r="A2" s="11" t="inlineStr">
        <is>
          <t>Real measurements only. State the hardware and the number of runs. 'Not measured' is acceptable; a guessed number is not.</t>
        </is>
      </c>
      <c r="B2" s="12" t="n"/>
      <c r="C2" s="12" t="n"/>
      <c r="D2" s="12" t="n"/>
      <c r="E2" s="12" t="n"/>
    </row>
    <row r="4" ht="30" customHeight="1">
      <c r="A4" s="5" t="inlineStr">
        <is>
          <t>Metric</t>
        </is>
      </c>
      <c r="B4" s="5" t="inlineStr">
        <is>
          <t>How to measure it</t>
        </is>
      </c>
      <c r="C4" s="5" t="inlineStr">
        <is>
          <t>Your value</t>
        </is>
      </c>
      <c r="D4" s="5" t="inlineStr">
        <is>
          <t>Hardware / runs / conditions</t>
        </is>
      </c>
      <c r="E4" s="5" t="inlineStr">
        <is>
          <t>Evidence links</t>
        </is>
      </c>
    </row>
    <row r="5" ht="27.75" customHeight="1">
      <c r="A5" s="4" t="inlineStr">
        <is>
          <t>Turnaround</t>
        </is>
      </c>
      <c r="B5" s="3" t="inlineStr">
        <is>
          <t>Time from upload to finished video for 60 s of narration, cold and warm.</t>
        </is>
      </c>
      <c r="C5" s="7" t="inlineStr">
        <is>
          <t>102.231 s measured pipeline processing; input 54.407 s, output 54.333 s</t>
        </is>
      </c>
      <c r="D5" s="7" t="inlineStr">
        <is>
          <t>One local Windows-laptop 16:9 job; not normalized to 60 s or separated into cold/warm runs.</t>
        </is>
      </c>
      <c r="E5" s="7" t="inlineStr">
        <is>
          <t>data/jobs/9a25d4a3ba3b48529717add67b499075/manifest.json</t>
        </is>
      </c>
    </row>
    <row r="6" ht="27.75" customHeight="1">
      <c r="A6" s="4" t="inlineStr">
        <is>
          <t>Cost</t>
        </is>
      </c>
      <c r="B6" s="3" t="inlineStr">
        <is>
          <t>Cost per minute of finished video (footage APIs, generation, TTS, compute).</t>
        </is>
      </c>
      <c r="C6" s="7" t="inlineStr">
        <is>
          <t>Not measured</t>
        </is>
      </c>
      <c r="D6" s="7" t="inlineStr">
        <is>
          <t>No verified invoice/API billing or compute-cost records. Owner should confirm paid-service usage.</t>
        </is>
      </c>
      <c r="E6" s="7" t="inlineStr">
        <is>
          <t>Not available</t>
        </is>
      </c>
    </row>
    <row r="7" ht="27.75" customHeight="1">
      <c r="A7" s="4" t="inlineStr">
        <is>
          <t>Coverage</t>
        </is>
      </c>
      <c r="B7" s="3" t="inlineStr">
        <is>
          <t>Share of narration time covered by a clip you rate 3 or more out of 5.</t>
        </is>
      </c>
      <c r="C7" s="7" t="inlineStr">
        <is>
          <t>Not measured</t>
        </is>
      </c>
      <c r="D7" s="7" t="inlineStr">
        <is>
          <t>No human ratings of clip relevance; timeline duration alone is not the requested 3+/5 coverage metric.</t>
        </is>
      </c>
      <c r="E7" s="7" t="inlineStr">
        <is>
          <t>No reviewer scores collected</t>
        </is>
      </c>
    </row>
    <row r="8" ht="27.75" customHeight="1">
      <c r="A8" s="4" t="inlineStr">
        <is>
          <t>Relevance</t>
        </is>
      </c>
      <c r="B8" s="3" t="inlineStr">
        <is>
          <t>Your own 1-5 rating per scene (and the independent model score for Outstanding).</t>
        </is>
      </c>
      <c r="C8" s="7" t="inlineStr">
        <is>
          <t>Not measured</t>
        </is>
      </c>
      <c r="D8" s="7" t="inlineStr">
        <is>
          <t>Automated token-overlap values are not human or independent-model ratings.</t>
        </is>
      </c>
      <c r="E8" s="7" t="inlineStr">
        <is>
          <t>data/jobs/9a25d4a3ba3b48529717add67b499075/timeline.json</t>
        </is>
      </c>
    </row>
    <row r="9" ht="27.75" customHeight="1">
      <c r="A9" s="4" t="inlineStr">
        <is>
          <t>Reliability</t>
        </is>
      </c>
      <c r="B9" s="3" t="inlineStr">
        <is>
          <t>Render success rate across all tests; repeat-clip rate (must be 0).</t>
        </is>
      </c>
      <c r="C9" s="7" t="inlineStr">
        <is>
          <t>10/10 evaluation jobs completed; 10/10 automated checks passed. The five-scene sample used 5 distinct clips.</t>
        </is>
      </c>
      <c r="D9" s="7" t="inlineStr">
        <is>
          <t>Ten local evaluation jobs plus one separately inspected five-scene render. Functional evidence, not a production reliability benchmark; human relevance ratings are blank.</t>
        </is>
      </c>
      <c r="E9" s="7" t="inlineStr">
        <is>
          <t>data/evaluation_results.csv; runtime-validation-report.md; data/jobs/9a25d4a3ba3b48529717add67b499075/manifest.json; data/jobs/9a25d4a3ba3b48529717add67b499075/timeline.json; tests/test_api.py</t>
        </is>
      </c>
    </row>
    <row r="10" ht="19.5" customHeight="1">
      <c r="A10" s="4" t="inlineStr">
        <is>
          <t>Resources</t>
        </is>
      </c>
      <c r="B10" s="3" t="inlineStr">
        <is>
          <t>Peak memory and GPU time, if you used a GPU.</t>
        </is>
      </c>
      <c r="C10" s="7" t="inlineStr">
        <is>
          <t>Peak RAM not measured; GPU time N/A (CPU FFmpeg render)</t>
        </is>
      </c>
      <c r="D10" s="7" t="inlineStr">
        <is>
          <t>One local render; hardware model/RAM configuration not recorded.</t>
        </is>
      </c>
      <c r="E10" s="7" t="inlineStr">
        <is>
          <t>data/jobs/9a25d4a3ba3b48529717add67b499075/manifest.json</t>
        </is>
      </c>
    </row>
    <row r="11">
      <c r="D11" s="7" t="n"/>
    </row>
  </sheetData>
  <mergeCells count="2">
    <mergeCell ref="A2:E2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zoomScaleNormal="100" workbookViewId="0">
      <selection activeCell="A1" sqref="A1:E1"/>
    </sheetView>
  </sheetViews>
  <sheetFormatPr baseColWidth="8" defaultColWidth="8.6640625" defaultRowHeight="14.4"/>
  <cols>
    <col width="5" customWidth="1" min="1" max="1"/>
    <col width="52" customWidth="1" min="2" max="2"/>
    <col width="11" customWidth="1" min="3" max="3"/>
    <col width="50" customWidth="1" min="4" max="4"/>
    <col width="40" customWidth="1" min="5" max="5"/>
  </cols>
  <sheetData>
    <row r="1" ht="24" customHeight="1">
      <c r="A1" s="13" t="inlineStr">
        <is>
          <t>Hard cases you tested</t>
        </is>
      </c>
      <c r="B1" s="12" t="n"/>
      <c r="C1" s="12" t="n"/>
      <c r="D1" s="12" t="n"/>
      <c r="E1" s="12" t="n"/>
    </row>
    <row r="2" ht="31.5" customHeight="1">
      <c r="A2" s="11" t="inlineStr">
        <is>
          <t>For each situation, say what your system does and link to the test output. We will run 5 hidden tests of these kinds.</t>
        </is>
      </c>
      <c r="B2" s="12" t="n"/>
      <c r="C2" s="12" t="n"/>
      <c r="D2" s="12" t="n"/>
      <c r="E2" s="12" t="n"/>
    </row>
    <row r="4" ht="30" customHeight="1">
      <c r="A4" s="5" t="inlineStr">
        <is>
          <t>#</t>
        </is>
      </c>
      <c r="B4" s="5" t="inlineStr">
        <is>
          <t>Situation</t>
        </is>
      </c>
      <c r="C4" s="5" t="inlineStr">
        <is>
          <t>Tested?</t>
        </is>
      </c>
      <c r="D4" s="5" t="inlineStr">
        <is>
          <t>What your system does</t>
        </is>
      </c>
      <c r="E4" s="5" t="inlineStr">
        <is>
          <t>Evidence links</t>
        </is>
      </c>
    </row>
    <row r="5" ht="27.75" customHeight="1">
      <c r="A5" s="3" t="n">
        <v>1</v>
      </c>
      <c r="B5" s="3" t="inlineStr">
        <is>
          <t>Abstract lines ("trust is earned slowly") and numbers or statistics ("sales grew 40% in 2025").</t>
        </is>
      </c>
      <c r="C5" s="7" t="inlineStr">
        <is>
          <t>No</t>
        </is>
      </c>
      <c r="D5" s="7" t="inlineStr">
        <is>
          <t>Lexical/tag overlap can return a literal or weak match for abstract phrases; no specific abstract/numeric test was verified.</t>
        </is>
      </c>
      <c r="E5" s="7" t="inlineStr">
        <is>
          <t>app/pipeline.py; tests/test_api.py</t>
        </is>
      </c>
    </row>
    <row r="6" ht="27.75" customHeight="1">
      <c r="A6" s="3" t="n">
        <v>2</v>
      </c>
      <c r="B6" s="3" t="inlineStr">
        <is>
          <t>A real, named person or brand mentioned in the narration.</t>
        </is>
      </c>
      <c r="C6" s="7" t="inlineStr">
        <is>
          <t>No</t>
        </is>
      </c>
      <c r="D6" s="7" t="inlineStr">
        <is>
          <t>No verified named-person/brand screening or likeness/consent control; stock footage can contain people or marks.</t>
        </is>
      </c>
      <c r="E6" s="7" t="inlineStr">
        <is>
          <t>app/pipeline.py; SOURCES.md</t>
        </is>
      </c>
    </row>
    <row r="7" ht="27.75" customHeight="1">
      <c r="A7" s="3" t="n">
        <v>3</v>
      </c>
      <c r="B7" s="3" t="inlineStr">
        <is>
          <t>Words with double meanings: value, bank, cloud, mouse, python.</t>
        </is>
      </c>
      <c r="C7" s="7" t="inlineStr">
        <is>
          <t>No</t>
        </is>
      </c>
      <c r="D7" s="7" t="inlineStr">
        <is>
          <t>Ranking uses token overlap and does not disambiguate polysemous terms with a semantic model; no dedicated ambiguity test was verified.</t>
        </is>
      </c>
      <c r="E7" s="7" t="inlineStr">
        <is>
          <t>app/pipeline.py; tests/test_api.py</t>
        </is>
      </c>
    </row>
    <row r="8" ht="19.5" customHeight="1">
      <c r="A8" s="3" t="n">
        <v>4</v>
      </c>
      <c r="B8" s="3" t="inlineStr">
        <is>
          <t>A sad or sensitive news story.</t>
        </is>
      </c>
      <c r="C8" s="7" t="inlineStr">
        <is>
          <t>No</t>
        </is>
      </c>
      <c r="D8" s="7" t="inlineStr">
        <is>
          <t>No sensitive-story policy or specific safe-handling test was evidenced.</t>
        </is>
      </c>
      <c r="E8" s="7" t="inlineStr">
        <is>
          <t>README.md; tests/test_api.py</t>
        </is>
      </c>
    </row>
    <row r="9" ht="27.75" customHeight="1">
      <c r="A9" s="3" t="n">
        <v>5</v>
      </c>
      <c r="B9" s="3" t="inlineStr">
        <is>
          <t>A 9:16 output where the important subject sits at the edge of a 16:9 clip.</t>
        </is>
      </c>
      <c r="C9" s="7" t="inlineStr">
        <is>
          <t>No</t>
        </is>
      </c>
      <c r="D9" s="7" t="inlineStr">
        <is>
          <t>Aspect-ratio crop is supported, but no subject-position detection or edge-subject test was verified.</t>
        </is>
      </c>
      <c r="E9" s="7" t="inlineStr">
        <is>
          <t>app/pipeline.py; tests/test_api.py</t>
        </is>
      </c>
    </row>
    <row r="10" ht="27.75" customHeight="1">
      <c r="A10" s="3" t="n">
        <v>6</v>
      </c>
      <c r="B10" s="3" t="inlineStr">
        <is>
          <t>A 5-minute voiceover; silent audio; music-only audio; a wrong file type; an empty script.</t>
        </is>
      </c>
      <c r="C10" s="7" t="inlineStr">
        <is>
          <t>No</t>
        </is>
      </c>
      <c r="D10" s="7" t="inlineStr">
        <is>
          <t>Unsupported extensions are rejected; the full five-minute, silent, music-only and malformed-audio cases were not all verified. STT is not bundled.</t>
        </is>
      </c>
      <c r="E10" s="7" t="inlineStr">
        <is>
          <t>app/main.py; README.md; tests/test_api.py</t>
        </is>
      </c>
    </row>
    <row r="11" ht="42" customHeight="1">
      <c r="A11" s="3" t="n">
        <v>7</v>
      </c>
      <c r="B11" s="3" t="inlineStr">
        <is>
          <t>A footage provider that is down or returns nothing; a corrupted download; two users submitting at the same time.</t>
        </is>
      </c>
      <c r="C11" s="7" t="inlineStr">
        <is>
          <t>No</t>
        </is>
      </c>
      <c r="D11" s="7" t="inlineStr">
        <is>
          <t>Tests cover provider credential errors, empty results, timeouts/rate limits, failed downloads, duplicate handling and missing video streams; corrupt-clip and concurrent-retry coverage remains incomplete.</t>
        </is>
      </c>
      <c r="E11" s="7" t="inlineStr">
        <is>
          <t>tests/test_api.py</t>
        </is>
      </c>
    </row>
  </sheetData>
  <mergeCells count="2">
    <mergeCell ref="A2:E2"/>
    <mergeCell ref="A1:E1"/>
  </mergeCells>
  <dataValidations count="1">
    <dataValidation sqref="C5:C11" showDropDown="0" showInputMessage="0" showErrorMessage="0" allowBlank="1" type="list">
      <formula1>"Yes,No"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zoomScaleNormal="100" workbookViewId="0">
      <selection activeCell="A1" sqref="A1:B1"/>
    </sheetView>
  </sheetViews>
  <sheetFormatPr baseColWidth="8" defaultColWidth="8.6640625" defaultRowHeight="14.4"/>
  <cols>
    <col width="80" customWidth="1" min="1" max="1"/>
    <col width="14" customWidth="1" min="2" max="2"/>
  </cols>
  <sheetData>
    <row r="1" ht="24" customHeight="1">
      <c r="A1" s="13" t="inlineStr">
        <is>
          <t>Declaration</t>
        </is>
      </c>
      <c r="B1" s="12" t="n"/>
    </row>
    <row r="2" ht="31.5" customHeight="1">
      <c r="A2" s="11" t="inlineStr">
        <is>
          <t>Answer every statement. Submissions without a completed declaration are not reviewed.</t>
        </is>
      </c>
      <c r="B2" s="12" t="n"/>
    </row>
    <row r="4" ht="19.5" customHeight="1">
      <c r="A4" s="3" t="inlineStr">
        <is>
          <t>This is my individual work. I can explain and change any part of it.</t>
        </is>
      </c>
      <c r="B4" s="7" t="n"/>
    </row>
    <row r="5" ht="19.5" customHeight="1">
      <c r="A5" s="3" t="inlineStr">
        <is>
          <t>Every claim in this form is true and backed by the evidence I linked.</t>
        </is>
      </c>
      <c r="B5" s="7" t="n"/>
    </row>
    <row r="6" ht="19.5" customHeight="1">
      <c r="A6" s="3" t="inlineStr">
        <is>
          <t>All AI tools, models, APIs, libraries, data and media are listed in SOURCES.md and AI_USE.md.</t>
        </is>
      </c>
      <c r="B6" s="7" t="n"/>
    </row>
    <row r="7" ht="19.5" customHeight="1">
      <c r="A7" s="3" t="inlineStr">
        <is>
          <t>Everything in my default path, and everything it outputs, is licensed for commercial use.</t>
        </is>
      </c>
      <c r="B7" s="7" t="n"/>
    </row>
    <row r="8" ht="19.5" customHeight="1">
      <c r="A8" s="3" t="inlineStr">
        <is>
          <t>No outputs were edited by hand and presented as automated.</t>
        </is>
      </c>
      <c r="B8" s="7" t="n"/>
    </row>
    <row r="9" ht="19.5" customHeight="1">
      <c r="A9" s="3" t="inlineStr">
        <is>
          <t>No real person's voice, face or content was used without consent, and no community was spammed.</t>
        </is>
      </c>
      <c r="B9" s="7" t="n"/>
    </row>
    <row r="10" ht="19.5" customHeight="1">
      <c r="A10" s="3" t="inlineStr">
        <is>
          <t>No API keys or secrets are in the repository, logs, screenshots or this form.</t>
        </is>
      </c>
      <c r="B10" s="7" t="n"/>
    </row>
    <row r="11" ht="19.5" customHeight="1">
      <c r="A11" s="3" t="inlineStr">
        <is>
          <t>My live demo and links will stay available until results are announced.</t>
        </is>
      </c>
      <c r="B11" s="7" t="n"/>
    </row>
    <row r="12">
      <c r="A12" s="4" t="inlineStr">
        <is>
          <t>Full name (as signature)</t>
        </is>
      </c>
      <c r="B12" s="7" t="n"/>
    </row>
    <row r="13">
      <c r="A13" s="4" t="inlineStr">
        <is>
          <t>Date</t>
        </is>
      </c>
      <c r="B13" s="7" t="n"/>
    </row>
  </sheetData>
  <mergeCells count="2">
    <mergeCell ref="A2:B2"/>
    <mergeCell ref="A1:B1"/>
  </mergeCells>
  <dataValidations count="1">
    <dataValidation sqref="B4:B11" showDropDown="0" showInputMessage="0" showErrorMessage="0" allowBlank="1" type="list">
      <formula1>"Yes,No"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2026-10-13T08:20:02Z</dcterms:created>
  <dcterms:modified xsi:type="dcterms:W3CDTF">2026-10-20T13:44:53Z</dcterms:modified>
  <cp:lastModifiedBy>Shanmathi N</cp:lastModifiedBy>
  <cp:revision>0</cp:revision>
</cp:coreProperties>
</file>