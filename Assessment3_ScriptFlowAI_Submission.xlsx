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color rgb="FFFFFFFF"/>
      <sz val="10"/>
    </font>
    <font>
      <name val="Arial"/>
      <charset val="1"/>
      <b val="1"/>
      <color rgb="FFFFFFFF"/>
      <sz val="10"/>
    </font>
    <font>
      <name val="Arial"/>
      <charset val="1"/>
      <color rgb="FF14212B"/>
      <sz val="10"/>
    </font>
    <font>
      <name val="Arial"/>
      <charset val="1"/>
      <b val="1"/>
      <color rgb="FF14212B"/>
      <sz val="10"/>
    </font>
    <font>
      <name val="Arial"/>
      <charset val="1"/>
      <i val="1"/>
      <color rgb="FF5B6B78"/>
      <sz val="10"/>
    </font>
    <font>
      <name val="Calibri"/>
      <charset val="1"/>
      <family val="2"/>
      <color theme="10"/>
      <sz val="11"/>
      <u val="single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pivotButton="0" quotePrefix="0" xfId="0"/>
    <xf numFmtId="0" fontId="5" fillId="6" borderId="2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7" borderId="2" applyAlignment="1" pivotButton="0" quotePrefix="0" xfId="1">
      <alignment vertical="top" wrapText="1"/>
    </xf>
    <xf numFmtId="0" fontId="4" fillId="7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hanmathi081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Normal="100" workbookViewId="0">
      <selection activeCell="A1" sqref="A1:C1"/>
    </sheetView>
  </sheetViews>
  <sheetFormatPr baseColWidth="8" defaultColWidth="8.6640625" defaultRowHeight="14.4"/>
  <cols>
    <col width="6" customWidth="1" min="1" max="1"/>
    <col width="96" customWidth="1" min="2" max="2"/>
    <col width="16" customWidth="1" min="3" max="3"/>
  </cols>
  <sheetData>
    <row r="1" ht="24" customHeight="1">
      <c r="A1" s="4" t="inlineStr">
        <is>
          <t>IncuBrix Engineering Assessment 3 | Script and Voiceover to B-roll Video Engine | Submission Form</t>
        </is>
      </c>
      <c r="B1" s="15" t="n"/>
      <c r="C1" s="15" t="n"/>
    </row>
    <row r="2" ht="31.5" customHeight="1">
      <c r="A2" s="3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>
      <c r="A4" s="5" t="n">
        <v>1</v>
      </c>
      <c r="B4" s="6" t="inlineStr">
        <is>
          <t>Read the assessment brief (PDF) first.</t>
        </is>
      </c>
    </row>
    <row r="5" ht="19.5" customHeight="1">
      <c r="A5" s="5" t="n">
        <v>2</v>
      </c>
      <c r="B5" s="6" t="inlineStr">
        <is>
          <t>1_Your_Details: your contact details and all links.</t>
        </is>
      </c>
    </row>
    <row r="6" ht="19.5" customHeight="1">
      <c r="A6" s="5" t="n">
        <v>3</v>
      </c>
      <c r="B6" s="6" t="inlineStr">
        <is>
          <t>2_Must_haves: mark each must-have Yes or No with evidence. Every one must pass to be selected.</t>
        </is>
      </c>
    </row>
    <row r="7" ht="19.5" customHeight="1">
      <c r="A7" s="5" t="n">
        <v>4</v>
      </c>
      <c r="B7" s="6" t="inlineStr">
        <is>
          <t>3_Levels: mark each item Yes / Partial / No with evidence. The level you reached is calculated for you.</t>
        </is>
      </c>
    </row>
    <row r="8" ht="19.5" customHeight="1">
      <c r="A8" s="5" t="n">
        <v>5</v>
      </c>
      <c r="B8" s="6" t="inlineStr">
        <is>
          <t>4_Integration: mark each Integration Standard point with evidence.</t>
        </is>
      </c>
    </row>
    <row r="9" ht="19.5" customHeight="1">
      <c r="A9" s="5" t="n">
        <v>6</v>
      </c>
      <c r="B9" s="6" t="inlineStr">
        <is>
          <t>5_Metrics: enter your measured numbers.  6_Hard_cases: say how your system handles each situation.</t>
        </is>
      </c>
    </row>
    <row r="10" ht="19.5" customHeight="1">
      <c r="A10" s="5" t="n">
        <v>7</v>
      </c>
      <c r="B10" s="6" t="inlineStr">
        <is>
          <t>7_Declaration: answer every statement and sign.</t>
        </is>
      </c>
    </row>
    <row r="11" ht="19.5" customHeight="1">
      <c r="A11" s="5" t="n">
        <v>8</v>
      </c>
      <c r="B11" s="6" t="inlineStr">
        <is>
          <t>Save as Assessment3_YourName.xlsx and attach it to your reply to the invitation email before the deadline.</t>
        </is>
      </c>
    </row>
    <row r="13">
      <c r="B13" s="7" t="inlineStr">
        <is>
          <t>Colour key: YELLOW = you fill in.  GREEN = calculated automatically.  GREY = instructions or example.</t>
        </is>
      </c>
    </row>
    <row r="15">
      <c r="B15" s="8" t="inlineStr">
        <is>
          <t>Your self-check (updates as you fill the form)</t>
        </is>
      </c>
      <c r="C15" s="9" t="n"/>
    </row>
    <row r="16">
      <c r="B16" s="7" t="inlineStr">
        <is>
          <t>Must-haves marked Yes</t>
        </is>
      </c>
      <c r="C16" s="10">
        <f>COUNTIF('2_Must_haves'!C6:C13,"Yes")&amp;" of 8"</f>
        <v/>
      </c>
    </row>
    <row r="17">
      <c r="B17" s="7" t="inlineStr">
        <is>
          <t>Level reached</t>
        </is>
      </c>
      <c r="C17" s="10">
        <f>'3_Levels'!C17</f>
        <v/>
      </c>
    </row>
    <row r="18">
      <c r="B18" s="7" t="inlineStr">
        <is>
          <t>Level marks claimed (40)</t>
        </is>
      </c>
      <c r="C18" s="10">
        <f>'3_Levels'!C18</f>
        <v/>
      </c>
    </row>
    <row r="19">
      <c r="B19" s="7" t="inlineStr">
        <is>
          <t>Integration marks claimed (20)</t>
        </is>
      </c>
      <c r="C19" s="10">
        <f>'4_Integration'!C15</f>
        <v/>
      </c>
    </row>
    <row r="20">
      <c r="B20" s="7" t="inlineStr">
        <is>
          <t>Self-assessed marks before our checks (60)</t>
        </is>
      </c>
      <c r="C20" s="10">
        <f>'3_Levels'!C18+'4_Integration'!C15</f>
        <v/>
      </c>
    </row>
    <row r="22" ht="43.5" customHeight="1">
      <c r="B22" s="2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topLeftCell="A3" zoomScaleNormal="100" workbookViewId="0">
      <selection activeCell="B8" sqref="B8"/>
    </sheetView>
  </sheetViews>
  <sheetFormatPr baseColWidth="8" defaultColWidth="8.6640625" defaultRowHeight="14.4"/>
  <cols>
    <col width="34" customWidth="1" min="1" max="1"/>
    <col width="70" customWidth="1" min="2" max="2"/>
  </cols>
  <sheetData>
    <row r="1" ht="24" customHeight="1">
      <c r="A1" s="4" t="inlineStr">
        <is>
          <t>IncuBrix Assessment 3 | Submission Form | Script and Voiceover to B-roll Video Engine</t>
        </is>
      </c>
      <c r="B1" s="15" t="n"/>
    </row>
    <row r="2" ht="31.5" customHeight="1">
      <c r="A2" s="3" t="inlineStr">
        <is>
          <t>Fill every YELLOW cell. Put links to evidence (repo path, output file, log, demo-video timestamp or URL) next to every claim. Save as Assessment3_&lt;YourName&gt;.xlsx and attach it to your reply email.</t>
        </is>
      </c>
      <c r="B2" s="15" t="n"/>
    </row>
    <row r="4" ht="19.5" customHeight="1">
      <c r="A4" s="7" t="inlineStr">
        <is>
          <t>Full name</t>
        </is>
      </c>
      <c r="B4" s="11" t="inlineStr">
        <is>
          <t>SHANMATHI N</t>
        </is>
      </c>
    </row>
    <row r="5" ht="19.5" customHeight="1">
      <c r="A5" s="7" t="inlineStr">
        <is>
          <t>Email</t>
        </is>
      </c>
      <c r="B5" s="13" t="inlineStr">
        <is>
          <t>shanmathi081@gmail.com</t>
        </is>
      </c>
    </row>
    <row r="6" ht="19.5" customHeight="1">
      <c r="A6" s="7" t="inlineStr">
        <is>
          <t>Phone</t>
        </is>
      </c>
      <c r="B6" s="14" t="n">
        <v>6374336523</v>
      </c>
    </row>
    <row r="7" ht="19.5" customHeight="1">
      <c r="A7" s="7" t="inlineStr">
        <is>
          <t>College and degree</t>
        </is>
      </c>
      <c r="B7" s="11" t="inlineStr">
        <is>
          <t>Thiagarajar College of Engineering Degree: B.Tech(Information Technology)</t>
        </is>
      </c>
    </row>
    <row r="8" ht="19.5" customHeight="1">
      <c r="A8" s="7" t="inlineStr">
        <is>
          <t>Graduation year</t>
        </is>
      </c>
      <c r="B8" s="14" t="n">
        <v>2027</v>
      </c>
    </row>
    <row r="9" ht="38" customHeight="1">
      <c r="A9" s="7" t="inlineStr">
        <is>
          <t>Live demo URL</t>
        </is>
      </c>
      <c r="B9" s="11" t="inlineStr">
        <is>
          <t>Local demo only: http://127.0.0.1:5173. Not publicly hosted or reviewer-accessible.</t>
        </is>
      </c>
    </row>
    <row r="10" ht="38" customHeight="1">
      <c r="A10" s="7" t="inlineStr">
        <is>
          <t>Live demo access token or login (if protected)</t>
        </is>
      </c>
      <c r="B10" s="11" t="inlineStr">
        <is>
          <t>Not applicable to the local demo; no reviewer login/token configured.</t>
        </is>
      </c>
    </row>
    <row r="11" ht="38" customHeight="1">
      <c r="A11" s="7" t="inlineStr">
        <is>
          <t>Cold-start wait time (if any)</t>
        </is>
      </c>
      <c r="B11" s="11" t="inlineStr">
        <is>
          <t>Not benchmarked as a cold-start measurement. See README.md for local startup commands.</t>
        </is>
      </c>
    </row>
    <row r="12" ht="24" customHeight="1">
      <c r="A12" s="7" t="inlineStr">
        <is>
          <t>Repository URL (private, reviewer invited)</t>
        </is>
      </c>
      <c r="B12" s="11" t="inlineStr">
        <is>
          <t>No repository URL supplied for this submission.</t>
        </is>
      </c>
    </row>
    <row r="13" ht="24" customHeight="1">
      <c r="A13" s="7" t="inlineStr">
        <is>
          <t>Demo video URL (max 8 min, unedited)</t>
        </is>
      </c>
      <c r="B13" s="11" t="inlineStr">
        <is>
          <t>No unedited demo video recorded/provided.</t>
        </is>
      </c>
    </row>
    <row r="14" ht="24" customHeight="1">
      <c r="A14" s="7" t="inlineStr">
        <is>
          <t>REPORT.md link</t>
        </is>
      </c>
      <c r="B14" s="11" t="inlineStr">
        <is>
          <t>REPORT.md not present in the verified project evidence.</t>
        </is>
      </c>
    </row>
    <row r="15" ht="24" customHeight="1">
      <c r="A15" s="7" t="inlineStr">
        <is>
          <t>Compute used (laptop / cloud / GPU, with specs)</t>
        </is>
      </c>
      <c r="B15" s="11" t="inlineStr">
        <is>
          <t>Laptop</t>
        </is>
      </c>
    </row>
    <row r="16" ht="38" customHeight="1">
      <c r="A16" s="7" t="inlineStr">
        <is>
          <t>Paid services used and total cost</t>
        </is>
      </c>
      <c r="B16" s="11" t="inlineStr">
        <is>
          <t>Not measured. Please confirm whether any paid tools, API usage, or other costs apply.</t>
        </is>
      </c>
    </row>
    <row r="17" ht="52" customHeight="1">
      <c r="A17" s="7" t="inlineStr">
        <is>
          <t>AI coding tools used (details in AI_USE.md)</t>
        </is>
      </c>
      <c r="B17" s="11" t="inlineStr">
        <is>
          <t>GitHub Copilot SDK in VS Code was used. AI_USE.md is not present; add the complete tool/model/API disclosure before submission.</t>
        </is>
      </c>
    </row>
    <row r="18" ht="24" customHeight="1">
      <c r="A18" s="7" t="inlineStr">
        <is>
          <t>Approximate hours spent</t>
        </is>
      </c>
      <c r="B18" s="11" t="inlineStr">
        <is>
          <t>Not tracked; enter your own estimate.</t>
        </is>
      </c>
    </row>
  </sheetData>
  <mergeCells count="2">
    <mergeCell ref="A2:B2"/>
    <mergeCell ref="A1:B1"/>
  </mergeCells>
  <hyperlinks>
    <hyperlink xmlns:r="http://schemas.openxmlformats.org/officeDocument/2006/relationships" ref="B5" r:id="rId1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min="1" max="1"/>
    <col width="60" customWidth="1" min="2" max="2"/>
    <col width="10" customWidth="1" min="3" max="3"/>
    <col width="50" customWidth="1" min="4" max="4"/>
    <col width="36" customWidth="1" min="5" max="5"/>
  </cols>
  <sheetData>
    <row r="1" ht="24" customHeight="1">
      <c r="A1" s="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>
      <c r="A2" s="3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>
      <c r="A4" s="8" t="inlineStr">
        <is>
          <t>#</t>
        </is>
      </c>
      <c r="B4" s="8" t="inlineStr">
        <is>
          <t>Must-have</t>
        </is>
      </c>
      <c r="C4" s="8" t="inlineStr">
        <is>
          <t>Met?</t>
        </is>
      </c>
      <c r="D4" s="8" t="inlineStr">
        <is>
          <t>Evidence links (files, logs, tests, video timestamp)</t>
        </is>
      </c>
      <c r="E4" s="8" t="inlineStr">
        <is>
          <t>Notes / limits</t>
        </is>
      </c>
    </row>
    <row r="5" ht="26.4" customHeight="1">
      <c r="A5" s="12" t="inlineStr">
        <is>
          <t>Ex.</t>
        </is>
      </c>
      <c r="B5" s="12" t="inlineStr">
        <is>
          <t>Example row - shows the expected format (do not edit)</t>
        </is>
      </c>
      <c r="C5" s="12" t="inlineStr">
        <is>
          <t>Yes</t>
        </is>
      </c>
      <c r="D5" s="12" t="inlineStr">
        <is>
          <t>repo/tests/test_length.py ; outputs/run_07/manifest.json ; demo video 02:15</t>
        </is>
      </c>
      <c r="E5" s="12" t="inlineStr">
        <is>
          <t>Fails above 290 s - see REPORT.md section 4</t>
        </is>
      </c>
    </row>
    <row r="6" ht="94" customHeight="1">
      <c r="A6" s="6" t="n">
        <v>1</v>
      </c>
      <c r="B6" s="6" t="inlineStr">
        <is>
          <t>Both inputs work: audio (mp3, wav, m4a, up to 10 minutes) and text (you generate the narration).
We verify: We submit both on the live demo.</t>
        </is>
      </c>
      <c r="C6" s="11" t="inlineStr">
        <is>
          <t>No</t>
        </is>
      </c>
      <c r="D6" s="11" t="inlineStr">
        <is>
          <t>app/main.py; app/pipeline.py; app/models.py; README.md; tests/test_api.py</t>
        </is>
      </c>
      <c r="E6" s="11" t="inlineStr">
        <is>
          <t>Text narration uses local pyttsx3. Upload accepts MP3/WAV/M4A, but genuine STT is not bundled; a timestamped transcript is needed. A 10-minute upload cap was not evidenced.</t>
        </is>
      </c>
    </row>
    <row r="7" ht="80" customHeight="1">
      <c r="A7" s="6" t="n">
        <v>2</v>
      </c>
      <c r="B7" s="6" t="inlineStr">
        <is>
          <t>Scenes by meaning, timed to the voice. Scene changes fall on sentence or phrase boundaries; every second of narration is covered; the narration sets the timing, not the clips.
We verify: We check timeline.json against the transcript and watch the videos.</t>
        </is>
      </c>
      <c r="C7" s="11" t="inlineStr">
        <is>
          <t>No</t>
        </is>
      </c>
      <c r="D7" s="11" t="inlineStr">
        <is>
          <t>app/pipeline.py; data/jobs/9a25d4a3ba3b48529717add67b499075/timeline.json; .../manifest.json</t>
        </is>
      </c>
      <c r="E7" s="11" t="inlineStr">
        <is>
          <t>The demonstrated scene spans cover the narration duration, but scene boundaries are not verified as word/meaning-aligned; manifest reports STT as mock.</t>
        </is>
      </c>
    </row>
    <row r="8" ht="94" customHeight="1">
      <c r="A8" s="6" t="n">
        <v>3</v>
      </c>
      <c r="B8" s="6" t="inlineStr">
        <is>
          <t>Every clip is licence-clean. Source, licence, attribution and link are recorded per clip; all allow commercial use; no watermarked footage; AI-generated clips are flagged.
We verify: We check every clip in timeline.json.</t>
        </is>
      </c>
      <c r="C8" s="11" t="inlineStr">
        <is>
          <t>No</t>
        </is>
      </c>
      <c r="D8" s="11" t="inlineStr">
        <is>
          <t>SOURCES.md; data/jobs/9a25d4a3ba3b48529717add67b499075/timeline.json</t>
        </is>
      </c>
      <c r="E8" s="11" t="inlineStr">
        <is>
          <t>Provider/source and attribution are recorded, but the manifest leaves specific license as null and instructs users to verify terms. Do not claim per-asset commercial clearance.</t>
        </is>
      </c>
    </row>
    <row r="9" ht="80" customHeight="1">
      <c r="A9" s="6" t="n">
        <v>4</v>
      </c>
      <c r="B9" s="6" t="inlineStr">
        <is>
          <t>Correct, consistent video. All requested aspect ratios; every clip normalised (resolution, frame rate, pixel format); no black frames, frozen frames or audio drift.
We verify: Automated checks on every output file.</t>
        </is>
      </c>
      <c r="C9" s="11" t="inlineStr">
        <is>
          <t>No</t>
        </is>
      </c>
      <c r="D9" s="11" t="inlineStr">
        <is>
          <t>app/pipeline.py; tests/test_api.py; data/jobs/9a25d4a3ba3b48529717add67b499075/manifest.json</t>
        </is>
      </c>
      <c r="E9" s="11" t="inlineStr">
        <is>
          <t>One real 16:9 output was FFprobe-verified. Other ratios are supported in the renderer but were not verified end-to-end in the cited job.</t>
        </is>
      </c>
    </row>
    <row r="10" ht="94" customHeight="1">
      <c r="A10" s="6" t="n">
        <v>5</v>
      </c>
      <c r="B10" s="6" t="inlineStr">
        <is>
          <t>No repeats and no nonsense matches. No clip is used twice in one video; footage matches the meaning, not just a keyword.
We verify: We watch every scene and score relevance 1-5.</t>
        </is>
      </c>
      <c r="C10" s="11" t="inlineStr">
        <is>
          <t>No</t>
        </is>
      </c>
      <c r="D10" s="11" t="inlineStr">
        <is>
          <t>app/pipeline.py; tests/test_api.py; data/jobs/9a25d4a3ba3b48529717add67b499075/timeline.json</t>
        </is>
      </c>
      <c r="E10" s="11" t="inlineStr">
        <is>
          <t>Duplicate avoidance is implemented; the example output used 5 distinct clips. Ranking is deterministic token overlap, not semantic relevance; no reviewer ratings exist.</t>
        </is>
      </c>
    </row>
    <row r="11" ht="66" customHeight="1">
      <c r="A11" s="6" t="n">
        <v>6</v>
      </c>
      <c r="B11" s="6" t="inlineStr">
        <is>
          <t>Safe output. No AI-generated realistic faces of real people; no invented brand logos; respectful footage for sensitive topics.
We verify: Hard cases include named people, brands and sad news.</t>
        </is>
      </c>
      <c r="C11" s="11" t="inlineStr">
        <is>
          <t>No</t>
        </is>
      </c>
      <c r="D11" s="11" t="inlineStr">
        <is>
          <t>app/pipeline.py; README.md; SOURCES.md</t>
        </is>
      </c>
      <c r="E11" s="11" t="inlineStr">
        <is>
          <t>Real stock footage is used, but no verified named-person, likeness, brand/logo, or sensitive-content safeguards are evidenced.</t>
        </is>
      </c>
    </row>
    <row r="12" ht="80" customHeight="1">
      <c r="A12" s="6" t="n">
        <v>7</v>
      </c>
      <c r="B12" s="6" t="inlineStr">
        <is>
          <t>Resilient jobs. Jobs run in the background with progress; if one footage source fails, the job still finishes using another source or a fallback.
We verify: We switch a source off during a job.</t>
        </is>
      </c>
      <c r="C12" s="11" t="inlineStr">
        <is>
          <t>No</t>
        </is>
      </c>
      <c r="D12" s="11" t="inlineStr">
        <is>
          <t>app/main.py; tests/test_api.py</t>
        </is>
      </c>
      <c r="E12" s="11" t="inlineStr">
        <is>
          <t>Jobs return 202 with status/progress and idempotency support. A durable queue/retry-after-failure guarantee and independent-worker recovery were not verified.</t>
        </is>
      </c>
    </row>
    <row r="13" ht="52" customHeight="1">
      <c r="A13" s="6" t="n">
        <v>8</v>
      </c>
      <c r="B13" s="6" t="inlineStr">
        <is>
          <t>Integration Standard followed and the live demo works for the whole review period.
We verify: See the Integration Standard section.</t>
        </is>
      </c>
      <c r="C13" s="11" t="inlineStr">
        <is>
          <t>No</t>
        </is>
      </c>
      <c r="D13" s="11" t="inlineStr">
        <is>
          <t>README.md</t>
        </is>
      </c>
      <c r="E13" s="11" t="inlineStr">
        <is>
          <t>Only a local demo URL is documented; no public, reviewer-accessible live demo was supplied.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62" customWidth="1" min="2" max="2"/>
    <col width="11" customWidth="1" min="3" max="3"/>
    <col width="44" customWidth="1" min="4" max="4"/>
    <col width="34" customWidth="1" min="5" max="5"/>
  </cols>
  <sheetData>
    <row r="1" ht="24" customHeight="1">
      <c r="A1" s="4" t="inlineStr">
        <is>
          <t>Levels you reached</t>
        </is>
      </c>
      <c r="B1" s="15" t="n"/>
      <c r="C1" s="15" t="n"/>
      <c r="D1" s="15" t="n"/>
      <c r="E1" s="15" t="n"/>
    </row>
    <row r="2" ht="31.5" customHeight="1">
      <c r="A2" s="3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>
      <c r="A4" s="8" t="inlineStr">
        <is>
          <t>Level</t>
        </is>
      </c>
      <c r="B4" s="8" t="inlineStr">
        <is>
          <t>Item</t>
        </is>
      </c>
      <c r="C4" s="8" t="inlineStr">
        <is>
          <t>Done?</t>
        </is>
      </c>
      <c r="D4" s="8" t="inlineStr">
        <is>
          <t>Evidence links</t>
        </is>
      </c>
      <c r="E4" s="8" t="inlineStr">
        <is>
          <t>How we can see it (command, URL, file)</t>
        </is>
      </c>
    </row>
    <row r="5" ht="52" customHeight="1">
      <c r="A5" s="7" t="inlineStr">
        <is>
          <t>Core</t>
        </is>
      </c>
      <c r="B5" s="6" t="inlineStr">
        <is>
          <t>All must-haves pass.</t>
        </is>
      </c>
      <c r="C5" s="11" t="inlineStr">
        <is>
          <t>No</t>
        </is>
      </c>
      <c r="D5" s="11" t="inlineStr">
        <is>
          <t>2_Must_haves rows 6-13</t>
        </is>
      </c>
      <c r="E5" s="11" t="inlineStr">
        <is>
          <t>Core requires every must-have to pass; several are not fully met or evidenced.</t>
        </is>
      </c>
    </row>
    <row r="6" ht="52" customHeight="1">
      <c r="A6" s="7" t="inlineStr">
        <is>
          <t>Core</t>
        </is>
      </c>
      <c r="B6" s="6" t="inlineStr">
        <is>
          <t>10 varied inputs (for example a tutorial, a news summary, a product promo, a story; different accents; 20 seconds to 5 minutes) all produce usable videos.</t>
        </is>
      </c>
      <c r="C6" s="11" t="inlineStr">
        <is>
          <t>No</t>
        </is>
      </c>
      <c r="D6" s="11" t="inlineStr">
        <is>
          <t>scripts/evaluate.py; evaluation_inputs.json</t>
        </is>
      </c>
      <c r="E6" s="11" t="inlineStr">
        <is>
          <t>A ten-input runner is present, but no completed ten-job evaluation CSV was verified.</t>
        </is>
      </c>
    </row>
    <row r="7" ht="52" customHeight="1">
      <c r="A7" s="7" t="inlineStr">
        <is>
          <t>Core</t>
        </is>
      </c>
      <c r="B7" s="6" t="inlineStr">
        <is>
          <t>Average relevance of at least 3.5 out of 5 from our reviewers on your 10 test videos.</t>
        </is>
      </c>
      <c r="C7" s="11" t="inlineStr">
        <is>
          <t>No</t>
        </is>
      </c>
      <c r="D7" s="11" t="inlineStr">
        <is>
          <t>data/jobs/9a25d4a3ba3b48529717add67b499075/timeline.json</t>
        </is>
      </c>
      <c r="E7" s="11" t="inlineStr">
        <is>
          <t>No independent human scene-relevance ratings or 3.5/5 average were collected.</t>
        </is>
      </c>
    </row>
    <row r="8" ht="80" customHeight="1">
      <c r="A8" s="7" t="inlineStr">
        <is>
          <t>Advanced</t>
        </is>
      </c>
      <c r="B8" s="6" t="inlineStr">
        <is>
          <t>At least two footage sources (for example a stock library and a generative video or image-to-video model) with a written, measurable rule for choosing between them, and the reason for each choice stored in timeline.json.</t>
        </is>
      </c>
      <c r="C8" s="11" t="inlineStr">
        <is>
          <t>Partial</t>
        </is>
      </c>
      <c r="D8" s="11" t="inlineStr">
        <is>
          <t>app/pipeline.py; tests/test_api.py; SOURCES.md</t>
        </is>
      </c>
      <c r="E8" s="11" t="inlineStr">
        <is>
          <t>Pixabay was used for the verified render. A second source adapter exists in code, but real retrieval from another provider was not verified.</t>
        </is>
      </c>
    </row>
    <row r="9" ht="52" customHeight="1">
      <c r="A9" s="7" t="inlineStr">
        <is>
          <t>Advanced</t>
        </is>
      </c>
      <c r="B9" s="6" t="inlineStr">
        <is>
          <t>Swap a clip: the user replaces one scene's clip and only the affected part is re-rendered, in clearly less time than a full render.</t>
        </is>
      </c>
      <c r="C9" s="11" t="inlineStr">
        <is>
          <t>No</t>
        </is>
      </c>
      <c r="D9" s="11" t="inlineStr">
        <is>
          <t>frontend/; app/main.py</t>
        </is>
      </c>
      <c r="E9" s="11" t="inlineStr">
        <is>
          <t>No user-facing clip replacement and scene-only rerender workflow was verified.</t>
        </is>
      </c>
    </row>
    <row r="10" ht="80" customHeight="1">
      <c r="A10" s="7" t="inlineStr">
        <is>
          <t>Advanced</t>
        </is>
      </c>
      <c r="B10" s="6" t="inlineStr">
        <is>
          <t>Looks like one video: colour and brightness normalised across sources; sensible pacing (no flashing 0.5-second clips).</t>
        </is>
      </c>
      <c r="C10" s="11" t="inlineStr">
        <is>
          <t>Partial</t>
        </is>
      </c>
      <c r="D10" s="11" t="inlineStr">
        <is>
          <t>app/pipeline.py; data/jobs/9a25d4a3ba3b48529717add67b499075/manifest.json</t>
        </is>
      </c>
      <c r="E10" s="11" t="inlineStr">
        <is>
          <t>A consistent grade and slow zoom/pan are present; crossfades and measured scene-to-scene color/brightness consistency are not evidenced.</t>
        </is>
      </c>
    </row>
    <row r="11" ht="66" customHeight="1">
      <c r="A11" s="7" t="inlineStr">
        <is>
          <t>Advanced</t>
        </is>
      </c>
      <c r="B11" s="6" t="inlineStr">
        <is>
          <t>Accepts IncuBrix scene lists (text plus visual hint per scene).</t>
        </is>
      </c>
      <c r="C11" s="11" t="inlineStr">
        <is>
          <t>Yes</t>
        </is>
      </c>
      <c r="D11" s="11" t="inlineStr">
        <is>
          <t>app/models.py; app/main.py; app/pipeline.py</t>
        </is>
      </c>
      <c r="E11" s="11" t="inlineStr">
        <is>
          <t>The API accepts structured scenes with narration and optional visual_hint and routes them through the pipeline.</t>
        </is>
      </c>
    </row>
    <row r="12" ht="52" customHeight="1">
      <c r="A12" s="7" t="inlineStr">
        <is>
          <t>Outstanding</t>
        </is>
      </c>
      <c r="B12" s="6" t="inlineStr">
        <is>
          <t>Measured relevance: an independent vision-language model scores each clip against its narration, and you show how well that score agrees with human ratings.</t>
        </is>
      </c>
      <c r="C12" s="11" t="inlineStr">
        <is>
          <t>No</t>
        </is>
      </c>
      <c r="D12" s="11" t="inlineStr">
        <is>
          <t>app/pipeline.py; data/jobs/9a25d4a3ba3b48529717add67b499075/manifest.json</t>
        </is>
      </c>
      <c r="E12" s="11" t="inlineStr">
        <is>
          <t>No independent vision-language relevance scoring is implemented or recorded.</t>
        </is>
      </c>
    </row>
    <row r="13" ht="66" customHeight="1">
      <c r="A13" s="7" t="inlineStr">
        <is>
          <t>Outstanding</t>
        </is>
      </c>
      <c r="B13" s="6" t="inlineStr">
        <is>
          <t>Multilingual narration: Hindi and Tamil voiceovers work as well as English.</t>
        </is>
      </c>
      <c r="C13" s="11" t="inlineStr">
        <is>
          <t>No</t>
        </is>
      </c>
      <c r="D13" s="11" t="inlineStr">
        <is>
          <t>app/config.py; README.md</t>
        </is>
      </c>
      <c r="E13" s="11" t="inlineStr">
        <is>
          <t>Hindi and Tamil narration were not verified; the demonstrated local voice provider is pyttsx3.</t>
        </is>
      </c>
    </row>
    <row r="14" ht="80" customHeight="1">
      <c r="A14" s="7" t="inlineStr">
        <is>
          <t>Outstanding</t>
        </is>
      </c>
      <c r="B14" s="6" t="inlineStr">
        <is>
          <t>Production numbers: time and cost to produce one minute of finished video, and how many jobs one server handles at once.</t>
        </is>
      </c>
      <c r="C14" s="11" t="inlineStr">
        <is>
          <t>Partial</t>
        </is>
      </c>
      <c r="D14" s="11" t="inlineStr">
        <is>
          <t>data/jobs/9a25d4a3ba3b48529717add67b499075/manifest.json</t>
        </is>
      </c>
      <c r="E14" s="11" t="inlineStr">
        <is>
          <t>One render recorded 102.231 seconds processing for 54.407 seconds of narration; cost and normalized 60-second cold/warm benchmarks were not measured.</t>
        </is>
      </c>
    </row>
    <row r="15" ht="52" customHeight="1">
      <c r="A15" s="7" t="inlineStr">
        <is>
          <t>Outstanding</t>
        </is>
      </c>
      <c r="B15" s="6" t="inlineStr">
        <is>
          <t>At least 85% of scenes rated 4 or 5 out of 5 by our reviewers.</t>
        </is>
      </c>
      <c r="C15" s="11" t="inlineStr">
        <is>
          <t>No</t>
        </is>
      </c>
      <c r="D15" s="11" t="inlineStr">
        <is>
          <t>scripts/evaluate.py; data/jobs/9a25d4a3ba3b48529717add67b499075/timeline.json</t>
        </is>
      </c>
      <c r="E15" s="11" t="inlineStr">
        <is>
          <t>No reviewer dataset confirms at least 85% of scenes rated 4 or 5.</t>
        </is>
      </c>
    </row>
    <row r="17">
      <c r="B17" s="7" t="inlineStr">
        <is>
          <t>Level reached (calculated)</t>
        </is>
      </c>
      <c r="C17" s="10">
        <f>IF(AND(AND(COUNTIF(C5:C7,"Yes")=3,COUNTIF(C8:C11,"Yes")=4),COUNTIF(C12:C15,"Yes")=4),"Outstanding",IF(AND(COUNTIF(C5:C7,"Yes")=3,COUNTIF(C8:C11,"Yes")=4),"Advanced",IF(COUNTIF(C5:C7,"Yes")=3,"Core","Below Core")))</f>
        <v/>
      </c>
      <c r="D17" s="16" t="n"/>
    </row>
    <row r="18">
      <c r="B18" s="7" t="inlineStr">
        <is>
          <t>Level marks claimed (out of 40)</t>
        </is>
      </c>
      <c r="C18" s="10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Normal="100" workbookViewId="0">
      <selection activeCell="A1" sqref="A1"/>
    </sheetView>
  </sheetViews>
  <sheetFormatPr baseColWidth="8" defaultColWidth="8.6640625" defaultRowHeight="14.4"/>
  <cols>
    <col width="30" customWidth="1" min="1" max="1"/>
    <col width="58" customWidth="1" min="2" max="2"/>
    <col width="11" customWidth="1" min="3" max="3"/>
    <col width="46" customWidth="1" min="4" max="4"/>
  </cols>
  <sheetData>
    <row r="1" ht="24" customHeight="1">
      <c r="A1" s="4" t="inlineStr">
        <is>
          <t>Integration Standard - 2 marks each (20)</t>
        </is>
      </c>
      <c r="B1" s="15" t="n"/>
      <c r="C1" s="15" t="n"/>
      <c r="D1" s="15" t="n"/>
    </row>
    <row r="2" ht="31.5" customHeight="1">
      <c r="A2" s="3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>
      <c r="A4" s="8" t="inlineStr">
        <is>
          <t>Point</t>
        </is>
      </c>
      <c r="B4" s="8" t="inlineStr">
        <is>
          <t>What exactly we check</t>
        </is>
      </c>
      <c r="C4" s="8" t="inlineStr">
        <is>
          <t>Done?</t>
        </is>
      </c>
      <c r="D4" s="8" t="inlineStr">
        <is>
          <t>Evidence links</t>
        </is>
      </c>
    </row>
    <row r="5" ht="69.75" customHeight="1">
      <c r="A5" s="7" t="inlineStr">
        <is>
          <t>1. One-command start and test</t>
        </is>
      </c>
      <c r="B5" s="6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11" t="inlineStr">
        <is>
          <t>No</t>
        </is>
      </c>
      <c r="D5" s="11" t="inlineStr">
        <is>
          <t>README.md
The app runs locally on Windows, but the required docker-compose one-command deployment is not provided.</t>
        </is>
      </c>
    </row>
    <row r="6" ht="66" customHeight="1">
      <c r="A6" s="7" t="inlineStr">
        <is>
          <t>2. Documented HTTP API</t>
        </is>
      </c>
      <c r="B6" s="6" t="inlineStr">
        <is>
          <t>An openapi.yaml (OpenAPI 3.1) that matches the running service exactly. All routes under /api/v1/.</t>
        </is>
      </c>
      <c r="C6" s="11" t="inlineStr">
        <is>
          <t>No</t>
        </is>
      </c>
      <c r="D6" s="11" t="inlineStr">
        <is>
          <t>app/main.py; README.md
FastAPI exposes generated interactive docs, but no checked-in OpenAPI 3.1 openapi.yaml was verified.</t>
        </is>
      </c>
    </row>
    <row r="7" ht="69.75" customHeight="1">
      <c r="A7" s="7" t="inlineStr">
        <is>
          <t>3. Background jobs</t>
        </is>
      </c>
      <c r="B7" s="6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11" t="inlineStr">
        <is>
          <t>Yes</t>
        </is>
      </c>
      <c r="D7" s="11" t="inlineStr">
        <is>
          <t>app/main.py; tests/test_api.py
Job creation returns HTTP 202; job status/progress and isolated output files are exposed.</t>
        </is>
      </c>
    </row>
    <row r="8" ht="94" customHeight="1">
      <c r="A8" s="7" t="inlineStr">
        <is>
          <t>4. Safe retries</t>
        </is>
      </c>
      <c r="B8" s="6" t="inlineStr">
        <is>
          <t>An Idempotency-Key header on every POST: sending the same request twice with the same key returns the same job and never does the work twice.</t>
        </is>
      </c>
      <c r="C8" s="11" t="inlineStr">
        <is>
          <t>Partial</t>
        </is>
      </c>
      <c r="D8" s="11" t="inlineStr">
        <is>
          <t>app/main.py; tests/test_api.py
Idempotency-Key is supported on job creation/upload and duplicate creation returns the existing job; this was not verified across every POST or with external billing.</t>
        </is>
      </c>
    </row>
    <row r="9" ht="66" customHeight="1">
      <c r="A9" s="7" t="inlineStr">
        <is>
          <t>5. Clear errors</t>
        </is>
      </c>
      <c r="B9" s="6" t="inlineStr">
        <is>
          <t>Errors are JSON: {"error": {"code", "message", "retryable", "details"}}. Codes are UPPER_SNAKE_CASE and listed in the README.</t>
        </is>
      </c>
      <c r="C9" s="11" t="inlineStr">
        <is>
          <t>Partial</t>
        </is>
      </c>
      <c r="D9" s="11" t="inlineStr">
        <is>
          <t>app/main.py
Failures are JSON via FastAPI, but not the required stable {error:{code,message,retryable}} contract.</t>
        </is>
      </c>
    </row>
    <row r="10" ht="66" customHeight="1">
      <c r="A10" s="7" t="inlineStr">
        <is>
          <t>6. Configuration</t>
        </is>
      </c>
      <c r="B10" s="6" t="inlineStr">
        <is>
          <t>All settings, paths, model names and limits come from environment variables or a config file. No hard-coded paths or keys.</t>
        </is>
      </c>
      <c r="C10" s="11" t="inlineStr">
        <is>
          <t>Partial</t>
        </is>
      </c>
      <c r="D10" s="11" t="inlineStr">
        <is>
          <t>app/config.py; .env.example; README.md
Provider keys and media paths are configurable. Not every setting/model/limit is demonstrated as fully externalized.</t>
        </is>
      </c>
    </row>
    <row r="11" ht="66" customHeight="1">
      <c r="A11" s="7" t="inlineStr">
        <is>
          <t>7. Files in, files out</t>
        </is>
      </c>
      <c r="B11" s="6" t="inlineStr">
        <is>
          <t>Inputs accepted as an upload or a URL. Outputs saved to S3-compatible storage (MinIO in the compose file is fine) and returned as download links.</t>
        </is>
      </c>
      <c r="C11" s="11" t="inlineStr">
        <is>
          <t>Partial</t>
        </is>
      </c>
      <c r="D11" s="11" t="inlineStr">
        <is>
          <t>app/main.py; README.md
Multipart files and local file downloads are supported; URL ingest and S3-compatible output storage are not evidenced.</t>
        </is>
      </c>
    </row>
    <row r="12" ht="66" customHeight="1">
      <c r="A12" s="7" t="inlineStr">
        <is>
          <t>8. Logs and health</t>
        </is>
      </c>
      <c r="B12" s="6" t="inlineStr">
        <is>
          <t>Structured JSON logs with timestamp, level, job_id and the X-Correlation-Id from the request. GET /health and GET /ready endpoints.</t>
        </is>
      </c>
      <c r="C12" s="11" t="inlineStr">
        <is>
          <t>Partial</t>
        </is>
      </c>
      <c r="D12" s="11" t="inlineStr">
        <is>
          <t>app/main.py; tests/test_api.py
Health/readiness and job progress exist; structured JSON logs with job correlation fields were not verified.</t>
        </is>
      </c>
    </row>
    <row r="13" ht="108" customHeight="1">
      <c r="A13" s="7" t="inlineStr">
        <is>
          <t>9. Output manifest</t>
        </is>
      </c>
      <c r="B13" s="6" t="inlineStr">
        <is>
          <t>Every result includes a JSON manifest: which models/providers and versions were used, settings, seed, timings, cost estimate, warnings, and licence/rights information.</t>
        </is>
      </c>
      <c r="C13" s="11" t="inlineStr">
        <is>
          <t>Partial</t>
        </is>
      </c>
      <c r="D13" s="11" t="inlineStr">
        <is>
          <t>app/pipeline.py; data/jobs/9a25d4a3ba3b48529717add67b499075/manifest.json
Manifest records provider/settings, clip metadata, processing time and measured media properties; cost, deterministic seed, and complete model/version details are absent.</t>
        </is>
      </c>
    </row>
    <row r="14" ht="108" customHeight="1">
      <c r="A14" s="7" t="inlineStr">
        <is>
          <t>10. Batch runner</t>
        </is>
      </c>
      <c r="B14" s="6" t="inlineStr">
        <is>
          <t>A command-line tool that runs a folder or file of test inputs against the API and writes all results to one folder. We use this to test every submission the same way.</t>
        </is>
      </c>
      <c r="C14" s="11" t="inlineStr">
        <is>
          <t>Partial</t>
        </is>
      </c>
      <c r="D14" s="11" t="inlineStr">
        <is>
          <t>scripts/evaluate.py; evaluation_inputs.json
A CLI runner reads a fixed ten-input JSON and writes a CSV with a separate blank human-rating column. Running the full batch was not verified; folder/file input is not supported.</t>
        </is>
      </c>
    </row>
    <row r="15">
      <c r="B15" s="7" t="inlineStr">
        <is>
          <t>Integration marks claimed (out of 20)</t>
        </is>
      </c>
      <c r="C15" s="10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Normal="100" workbookViewId="0">
      <selection activeCell="A1" sqref="A1"/>
    </sheetView>
  </sheetViews>
  <sheetFormatPr baseColWidth="8" defaultColWidth="8.6640625" defaultRowHeight="14.4"/>
  <cols>
    <col width="28" customWidth="1" min="1" max="1"/>
    <col width="50" customWidth="1" min="2" max="2"/>
    <col width="20" customWidth="1" min="3" max="3"/>
    <col width="34" customWidth="1" min="4" max="4"/>
    <col width="40" customWidth="1" min="5" max="5"/>
  </cols>
  <sheetData>
    <row r="1" ht="24" customHeight="1">
      <c r="A1" s="4" t="inlineStr">
        <is>
          <t>Measured numbers</t>
        </is>
      </c>
      <c r="B1" s="15" t="n"/>
      <c r="C1" s="15" t="n"/>
      <c r="D1" s="15" t="n"/>
      <c r="E1" s="15" t="n"/>
    </row>
    <row r="2" ht="31.5" customHeight="1">
      <c r="A2" s="3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>
      <c r="A4" s="8" t="inlineStr">
        <is>
          <t>Metric</t>
        </is>
      </c>
      <c r="B4" s="8" t="inlineStr">
        <is>
          <t>How to measure it</t>
        </is>
      </c>
      <c r="C4" s="8" t="inlineStr">
        <is>
          <t>Your value</t>
        </is>
      </c>
      <c r="D4" s="8" t="inlineStr">
        <is>
          <t>Hardware / runs / conditions</t>
        </is>
      </c>
      <c r="E4" s="8" t="inlineStr">
        <is>
          <t>Evidence links</t>
        </is>
      </c>
    </row>
    <row r="5" ht="80" customHeight="1">
      <c r="A5" s="7" t="inlineStr">
        <is>
          <t>Turnaround</t>
        </is>
      </c>
      <c r="B5" s="6" t="inlineStr">
        <is>
          <t>Time from upload to finished video for 60 s of narration, cold and warm.</t>
        </is>
      </c>
      <c r="C5" s="11" t="inlineStr">
        <is>
          <t>102.231 s measured pipeline processing; input 54.407 s, output 54.333 s</t>
        </is>
      </c>
      <c r="D5" s="11" t="inlineStr">
        <is>
          <t>One local Windows-laptop 16:9 job; not normalized to 60 s or separated into cold/warm runs.</t>
        </is>
      </c>
      <c r="E5" s="11" t="inlineStr">
        <is>
          <t>data/jobs/9a25d4a3ba3b48529717add67b499075/manifest.json</t>
        </is>
      </c>
    </row>
    <row r="6" ht="66" customHeight="1">
      <c r="A6" s="7" t="inlineStr">
        <is>
          <t>Cost</t>
        </is>
      </c>
      <c r="B6" s="6" t="inlineStr">
        <is>
          <t>Cost per minute of finished video (footage APIs, generation, TTS, compute).</t>
        </is>
      </c>
      <c r="C6" s="11" t="inlineStr">
        <is>
          <t>Not measured</t>
        </is>
      </c>
      <c r="D6" s="11" t="inlineStr">
        <is>
          <t>No verified invoice/API billing or compute-cost records. Owner should confirm paid-service usage.</t>
        </is>
      </c>
      <c r="E6" s="11" t="inlineStr">
        <is>
          <t>Not available</t>
        </is>
      </c>
    </row>
    <row r="7" ht="66" customHeight="1">
      <c r="A7" s="7" t="inlineStr">
        <is>
          <t>Coverage</t>
        </is>
      </c>
      <c r="B7" s="6" t="inlineStr">
        <is>
          <t>Share of narration time covered by a clip you rate 3 or more out of 5.</t>
        </is>
      </c>
      <c r="C7" s="11" t="inlineStr">
        <is>
          <t>Not measured</t>
        </is>
      </c>
      <c r="D7" s="11" t="inlineStr">
        <is>
          <t>No human ratings of clip relevance; timeline duration alone is not the requested 3+/5 coverage metric.</t>
        </is>
      </c>
      <c r="E7" s="11" t="inlineStr">
        <is>
          <t>No reviewer scores collected</t>
        </is>
      </c>
    </row>
    <row r="8" ht="52" customHeight="1">
      <c r="A8" s="7" t="inlineStr">
        <is>
          <t>Relevance</t>
        </is>
      </c>
      <c r="B8" s="6" t="inlineStr">
        <is>
          <t>Your own 1-5 rating per scene (and the independent model score for Outstanding).</t>
        </is>
      </c>
      <c r="C8" s="11" t="inlineStr">
        <is>
          <t>Not measured</t>
        </is>
      </c>
      <c r="D8" s="11" t="inlineStr">
        <is>
          <t>Automated token-overlap values are not human or independent-model ratings.</t>
        </is>
      </c>
      <c r="E8" s="11" t="inlineStr">
        <is>
          <t>data/jobs/9a25d4a3ba3b48529717add67b499075/timeline.json</t>
        </is>
      </c>
    </row>
    <row r="9" ht="66" customHeight="1">
      <c r="A9" s="7" t="inlineStr">
        <is>
          <t>Reliability</t>
        </is>
      </c>
      <c r="B9" s="6" t="inlineStr">
        <is>
          <t>Render success rate across all tests; repeat-clip rate (must be 0).</t>
        </is>
      </c>
      <c r="C9" s="11" t="inlineStr">
        <is>
          <t>N=1 demonstrated render completed; 5 distinct clips in that output</t>
        </is>
      </c>
      <c r="D9" s="11" t="inlineStr">
        <is>
          <t>Not a reliability benchmark. Repeat-clip rate in this single sample is 0/5; no batch success-rate denominator.</t>
        </is>
      </c>
      <c r="E9" s="11" t="inlineStr">
        <is>
          <t>data/jobs/9a25d4a3ba3b48529717add67b499075/manifest.json; .../timeline.json; tests/test_api.py</t>
        </is>
      </c>
    </row>
    <row r="10" ht="66" customHeight="1">
      <c r="A10" s="7" t="inlineStr">
        <is>
          <t>Resources</t>
        </is>
      </c>
      <c r="B10" s="6" t="inlineStr">
        <is>
          <t>Peak memory and GPU time, if you used a GPU.</t>
        </is>
      </c>
      <c r="C10" s="11" t="inlineStr">
        <is>
          <t>Peak RAM not measured; GPU time N/A (CPU FFmpeg render)</t>
        </is>
      </c>
      <c r="D10" s="11" t="inlineStr">
        <is>
          <t>One local render; hardware model/RAM configuration not recorded.</t>
        </is>
      </c>
      <c r="E10" s="11" t="inlineStr">
        <is>
          <t>data/jobs/9a25d4a3ba3b48529717add67b499075/manifest.json</t>
        </is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min="1" max="1"/>
    <col width="52" customWidth="1" min="2" max="2"/>
    <col width="11" customWidth="1" min="3" max="3"/>
    <col width="50" customWidth="1" min="4" max="4"/>
    <col width="40" customWidth="1" min="5" max="5"/>
  </cols>
  <sheetData>
    <row r="1" ht="24" customHeight="1">
      <c r="A1" s="4" t="inlineStr">
        <is>
          <t>Hard cases you tested</t>
        </is>
      </c>
      <c r="B1" s="15" t="n"/>
      <c r="C1" s="15" t="n"/>
      <c r="D1" s="15" t="n"/>
      <c r="E1" s="15" t="n"/>
    </row>
    <row r="2" ht="31.5" customHeight="1">
      <c r="A2" s="3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>
      <c r="A4" s="8" t="inlineStr">
        <is>
          <t>#</t>
        </is>
      </c>
      <c r="B4" s="8" t="inlineStr">
        <is>
          <t>Situation</t>
        </is>
      </c>
      <c r="C4" s="8" t="inlineStr">
        <is>
          <t>Tested?</t>
        </is>
      </c>
      <c r="D4" s="8" t="inlineStr">
        <is>
          <t>What your system does</t>
        </is>
      </c>
      <c r="E4" s="8" t="inlineStr">
        <is>
          <t>Evidence links</t>
        </is>
      </c>
    </row>
    <row r="5" ht="52" customHeight="1">
      <c r="A5" s="6" t="n">
        <v>1</v>
      </c>
      <c r="B5" s="6" t="inlineStr">
        <is>
          <t>Abstract lines ("trust is earned slowly") and numbers or statistics ("sales grew 40% in 2025").</t>
        </is>
      </c>
      <c r="C5" s="11" t="inlineStr">
        <is>
          <t>No</t>
        </is>
      </c>
      <c r="D5" s="11" t="inlineStr">
        <is>
          <t>Lexical/tag overlap can return a literal or weak match for abstract phrases; no specific abstract/numeric test was verified.</t>
        </is>
      </c>
      <c r="E5" s="11" t="inlineStr">
        <is>
          <t>app/pipeline.py; tests/test_api.py</t>
        </is>
      </c>
    </row>
    <row r="6" ht="52" customHeight="1">
      <c r="A6" s="6" t="n">
        <v>2</v>
      </c>
      <c r="B6" s="6" t="inlineStr">
        <is>
          <t>A real, named person or brand mentioned in the narration.</t>
        </is>
      </c>
      <c r="C6" s="11" t="inlineStr">
        <is>
          <t>No</t>
        </is>
      </c>
      <c r="D6" s="11" t="inlineStr">
        <is>
          <t>No verified named-person/brand screening or likeness/consent control; stock footage can contain people or marks.</t>
        </is>
      </c>
      <c r="E6" s="11" t="inlineStr">
        <is>
          <t>app/pipeline.py; SOURCES.md</t>
        </is>
      </c>
    </row>
    <row r="7" ht="66" customHeight="1">
      <c r="A7" s="6" t="n">
        <v>3</v>
      </c>
      <c r="B7" s="6" t="inlineStr">
        <is>
          <t>Words with double meanings: value, bank, cloud, mouse, python.</t>
        </is>
      </c>
      <c r="C7" s="11" t="inlineStr">
        <is>
          <t>No</t>
        </is>
      </c>
      <c r="D7" s="11" t="inlineStr">
        <is>
          <t>Ranking uses token overlap and does not disambiguate polysemous terms with a semantic model; no dedicated ambiguity test was verified.</t>
        </is>
      </c>
      <c r="E7" s="11" t="inlineStr">
        <is>
          <t>app/pipeline.py; tests/test_api.py</t>
        </is>
      </c>
    </row>
    <row r="8" ht="38" customHeight="1">
      <c r="A8" s="6" t="n">
        <v>4</v>
      </c>
      <c r="B8" s="6" t="inlineStr">
        <is>
          <t>A sad or sensitive news story.</t>
        </is>
      </c>
      <c r="C8" s="11" t="inlineStr">
        <is>
          <t>No</t>
        </is>
      </c>
      <c r="D8" s="11" t="inlineStr">
        <is>
          <t>No sensitive-story policy or specific safe-handling test was evidenced.</t>
        </is>
      </c>
      <c r="E8" s="11" t="inlineStr">
        <is>
          <t>README.md; tests/test_api.py</t>
        </is>
      </c>
    </row>
    <row r="9" ht="52" customHeight="1">
      <c r="A9" s="6" t="n">
        <v>5</v>
      </c>
      <c r="B9" s="6" t="inlineStr">
        <is>
          <t>A 9:16 output where the important subject sits at the edge of a 16:9 clip.</t>
        </is>
      </c>
      <c r="C9" s="11" t="inlineStr">
        <is>
          <t>No</t>
        </is>
      </c>
      <c r="D9" s="11" t="inlineStr">
        <is>
          <t>Aspect-ratio crop is supported, but no subject-position detection or edge-subject test was verified.</t>
        </is>
      </c>
      <c r="E9" s="11" t="inlineStr">
        <is>
          <t>app/pipeline.py; tests/test_api.py</t>
        </is>
      </c>
    </row>
    <row r="10" ht="66" customHeight="1">
      <c r="A10" s="6" t="n">
        <v>6</v>
      </c>
      <c r="B10" s="6" t="inlineStr">
        <is>
          <t>A 5-minute voiceover; silent audio; music-only audio; a wrong file type; an empty script.</t>
        </is>
      </c>
      <c r="C10" s="11" t="inlineStr">
        <is>
          <t>No</t>
        </is>
      </c>
      <c r="D10" s="11" t="inlineStr">
        <is>
          <t>Unsupported extensions are rejected; the full five-minute, silent, music-only and malformed-audio cases were not all verified. STT is not bundled.</t>
        </is>
      </c>
      <c r="E10" s="11" t="inlineStr">
        <is>
          <t>app/main.py; README.md; tests/test_api.py</t>
        </is>
      </c>
    </row>
    <row r="11" ht="80" customHeight="1">
      <c r="A11" s="6" t="n">
        <v>7</v>
      </c>
      <c r="B11" s="6" t="inlineStr">
        <is>
          <t>A footage provider that is down or returns nothing; a corrupted download; two users submitting at the same time.</t>
        </is>
      </c>
      <c r="C11" s="11" t="inlineStr">
        <is>
          <t>No</t>
        </is>
      </c>
      <c r="D11" s="11" t="inlineStr">
        <is>
          <t>Tests cover provider credential errors, empty results, timeouts/rate limits, failed downloads, duplicate handling and missing video streams; corrupt-clip and concurrent-retry coverage remains incomplete.</t>
        </is>
      </c>
      <c r="E11" s="11" t="inlineStr">
        <is>
          <t>tests/test_api.py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A1" sqref="A1"/>
    </sheetView>
  </sheetViews>
  <sheetFormatPr baseColWidth="8" defaultColWidth="8.6640625" defaultRowHeight="14.4"/>
  <cols>
    <col width="80" customWidth="1" min="1" max="1"/>
    <col width="14" customWidth="1" min="2" max="2"/>
  </cols>
  <sheetData>
    <row r="1" ht="24" customHeight="1">
      <c r="A1" s="4" t="inlineStr">
        <is>
          <t>Declaration</t>
        </is>
      </c>
      <c r="B1" s="15" t="n"/>
    </row>
    <row r="2" ht="31.5" customHeight="1">
      <c r="A2" s="3" t="inlineStr">
        <is>
          <t>Answer every statement. Submissions without a completed declaration are not reviewed.</t>
        </is>
      </c>
      <c r="B2" s="15" t="n"/>
    </row>
    <row r="4" ht="19.5" customHeight="1">
      <c r="A4" s="6" t="inlineStr">
        <is>
          <t>This is my individual work. I can explain and change any part of it.</t>
        </is>
      </c>
      <c r="B4" s="11" t="n"/>
    </row>
    <row r="5" ht="19.5" customHeight="1">
      <c r="A5" s="6" t="inlineStr">
        <is>
          <t>Every claim in this form is true and backed by the evidence I linked.</t>
        </is>
      </c>
      <c r="B5" s="11" t="n"/>
    </row>
    <row r="6" ht="19.5" customHeight="1">
      <c r="A6" s="6" t="inlineStr">
        <is>
          <t>All AI tools, models, APIs, libraries, data and media are listed in SOURCES.md and AI_USE.md.</t>
        </is>
      </c>
      <c r="B6" s="11" t="n"/>
    </row>
    <row r="7" ht="19.5" customHeight="1">
      <c r="A7" s="6" t="inlineStr">
        <is>
          <t>Everything in my default path, and everything it outputs, is licensed for commercial use.</t>
        </is>
      </c>
      <c r="B7" s="11" t="n"/>
    </row>
    <row r="8" ht="19.5" customHeight="1">
      <c r="A8" s="6" t="inlineStr">
        <is>
          <t>No outputs were edited by hand and presented as automated.</t>
        </is>
      </c>
      <c r="B8" s="11" t="n"/>
    </row>
    <row r="9" ht="19.5" customHeight="1">
      <c r="A9" s="6" t="inlineStr">
        <is>
          <t>No real person's voice, face or content was used without consent, and no community was spammed.</t>
        </is>
      </c>
      <c r="B9" s="11" t="n"/>
    </row>
    <row r="10" ht="19.5" customHeight="1">
      <c r="A10" s="6" t="inlineStr">
        <is>
          <t>No API keys or secrets are in the repository, logs, screenshots or this form.</t>
        </is>
      </c>
      <c r="B10" s="11" t="n"/>
    </row>
    <row r="11" ht="19.5" customHeight="1">
      <c r="A11" s="6" t="inlineStr">
        <is>
          <t>My live demo and links will stay available until results are announced.</t>
        </is>
      </c>
      <c r="B11" s="11" t="n"/>
    </row>
    <row r="12">
      <c r="A12" s="7" t="inlineStr">
        <is>
          <t>Full name (as signature)</t>
        </is>
      </c>
      <c r="B12" s="11" t="n"/>
    </row>
    <row r="13">
      <c r="A13" s="7" t="inlineStr">
        <is>
          <t>Date</t>
        </is>
      </c>
      <c r="B13" s="11" t="n"/>
    </row>
  </sheetData>
  <mergeCells count="2">
    <mergeCell ref="A2:B2"/>
    <mergeCell ref="A1:B1"/>
  </mergeCells>
  <dataValidations count="1">
    <dataValidation sqref="B4:B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2026-10-20T12:45:16Z</dcterms:modified>
  <cp:lastModifiedBy>Shanmathi N</cp:lastModifiedBy>
  <cp:revision>0</cp:revision>
</cp:coreProperties>
</file>