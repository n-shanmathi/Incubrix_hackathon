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hanmathi . N\Downloads\"/>
    </mc:Choice>
  </mc:AlternateContent>
  <xr:revisionPtr revIDLastSave="0" documentId="13_ncr:1_{11D82B5F-39F7-4010-B31F-5C8D0C100CBB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0_Start_Here" sheetId="1" r:id="rId1"/>
    <sheet name="1_Your_Details" sheetId="2" r:id="rId2"/>
    <sheet name="2_Must_haves" sheetId="3" r:id="rId3"/>
    <sheet name="3_Levels" sheetId="4" r:id="rId4"/>
    <sheet name="4_Integration" sheetId="5" r:id="rId5"/>
    <sheet name="5_Metrics" sheetId="6" r:id="rId6"/>
    <sheet name="6_Hard_cases" sheetId="7" r:id="rId7"/>
    <sheet name="7_Declaration" sheetId="8" r:id="rId8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5" i="5" l="1"/>
  <c r="C19" i="1" s="1"/>
  <c r="C18" i="4"/>
  <c r="C17" i="4"/>
  <c r="C17" i="1" s="1"/>
  <c r="C16" i="1"/>
  <c r="C20" i="1" l="1"/>
  <c r="C18" i="1"/>
</calcChain>
</file>

<file path=xl/sharedStrings.xml><?xml version="1.0" encoding="utf-8"?>
<sst xmlns="http://schemas.openxmlformats.org/spreadsheetml/2006/main" count="162" uniqueCount="149">
  <si>
    <t>IncuBrix Engineering Assessment 3 | Script and Voiceover to B-roll Video Engine | Submission Form</t>
  </si>
  <si>
    <t>This form is how you show us what you built. Fill it as you work. We verify every claim, so be precise.</t>
  </si>
  <si>
    <t>Read the assessment brief (PDF) first.</t>
  </si>
  <si>
    <t>1_Your_Details: your contact details and all links.</t>
  </si>
  <si>
    <t>2_Must_haves: mark each must-have Yes or No with evidence. Every one must pass to be selected.</t>
  </si>
  <si>
    <t>3_Levels: mark each item Yes / Partial / No with evidence. The level you reached is calculated for you.</t>
  </si>
  <si>
    <t>4_Integration: mark each Integration Standard point with evidence.</t>
  </si>
  <si>
    <t>5_Metrics: enter your measured numbers.  6_Hard_cases: say how your system handles each situation.</t>
  </si>
  <si>
    <t>7_Declaration: answer every statement and sign.</t>
  </si>
  <si>
    <t>Save as Assessment3_YourName.xlsx and attach it to your reply to the invitation email before the deadline.</t>
  </si>
  <si>
    <t>Colour key: YELLOW = you fill in.  GREEN = calculated automatically.  GREY = instructions or example.</t>
  </si>
  <si>
    <t>Your self-check (updates as you fill the form)</t>
  </si>
  <si>
    <t>Must-haves marked Yes</t>
  </si>
  <si>
    <t>Level reached</t>
  </si>
  <si>
    <t>Level marks claimed (40)</t>
  </si>
  <si>
    <t>Integration marks claimed (20)</t>
  </si>
  <si>
    <t>Self-assessed marks before our checks (60)</t>
  </si>
  <si>
    <t>We then verify your claims and add up to 20 marks for 5 hidden tests (screening total 80). Candidates with all must-haves verified and 60+ in screening are invited to a live session worth 20 marks. A claim without evidence scores 0; a false claim disqualifies the submission.</t>
  </si>
  <si>
    <t>IncuBrix Assessment 3 | Submission Form | Script and Voiceover to B-roll Video Engine</t>
  </si>
  <si>
    <t>Fill every YELLOW cell. Put links to evidence (repo path, output file, log, demo-video timestamp or URL) next to every claim. Save as Assessment3_&lt;YourName&gt;.xlsx and attach it to your reply email.</t>
  </si>
  <si>
    <t>Full name</t>
  </si>
  <si>
    <t>Email</t>
  </si>
  <si>
    <t>Phone</t>
  </si>
  <si>
    <t>College and degree</t>
  </si>
  <si>
    <t>Graduation year</t>
  </si>
  <si>
    <t>Live demo URL</t>
  </si>
  <si>
    <t>Live demo access token or login (if protected)</t>
  </si>
  <si>
    <t>Cold-start wait time (if any)</t>
  </si>
  <si>
    <t>Repository URL (private, reviewer invited)</t>
  </si>
  <si>
    <t>Demo video URL (max 8 min, unedited)</t>
  </si>
  <si>
    <t>REPORT.md link</t>
  </si>
  <si>
    <t>Compute used (laptop / cloud / GPU, with specs)</t>
  </si>
  <si>
    <t>Paid services used and total cost</t>
  </si>
  <si>
    <t>AI coding tools used (details in AI_USE.md)</t>
  </si>
  <si>
    <t>Approximate hours spent</t>
  </si>
  <si>
    <t>Must-haves - every one must pass</t>
  </si>
  <si>
    <t>Mark Met = Yes only if it fully works. Give links that let us check it in minutes.</t>
  </si>
  <si>
    <t>#</t>
  </si>
  <si>
    <t>Must-have</t>
  </si>
  <si>
    <t>Met?</t>
  </si>
  <si>
    <t>Evidence links (files, logs, tests, video timestamp)</t>
  </si>
  <si>
    <t>Notes / limits</t>
  </si>
  <si>
    <t>Ex.</t>
  </si>
  <si>
    <t>Example row - shows the expected format (do not edit)</t>
  </si>
  <si>
    <t>Yes</t>
  </si>
  <si>
    <t>repo/tests/test_length.py ; outputs/run_07/manifest.json ; demo video 02:15</t>
  </si>
  <si>
    <t>Fails above 290 s - see REPORT.md section 4</t>
  </si>
  <si>
    <t>Both inputs work: audio (mp3, wav, m4a, up to 10 minutes) and text (you generate the narration).
We verify: We submit both on the live demo.</t>
  </si>
  <si>
    <t>Scenes by meaning, timed to the voice. Scene changes fall on sentence or phrase boundaries; every second of narration is covered; the narration sets the timing, not the clips.
We verify: We check timeline.json against the transcript and watch the videos.</t>
  </si>
  <si>
    <t>Every clip is licence-clean. Source, licence, attribution and link are recorded per clip; all allow commercial use; no watermarked footage; AI-generated clips are flagged.
We verify: We check every clip in timeline.json.</t>
  </si>
  <si>
    <t>Correct, consistent video. All requested aspect ratios; every clip normalised (resolution, frame rate, pixel format); no black frames, frozen frames or audio drift.
We verify: Automated checks on every output file.</t>
  </si>
  <si>
    <t>No repeats and no nonsense matches. No clip is used twice in one video; footage matches the meaning, not just a keyword.
We verify: We watch every scene and score relevance 1-5.</t>
  </si>
  <si>
    <t>Safe output. No AI-generated realistic faces of real people; no invented brand logos; respectful footage for sensitive topics.
We verify: Hard cases include named people, brands and sad news.</t>
  </si>
  <si>
    <t>Resilient jobs. Jobs run in the background with progress; if one footage source fails, the job still finishes using another source or a fallback.
We verify: We switch a source off during a job.</t>
  </si>
  <si>
    <t>Integration Standard followed and the live demo works for the whole review period.
We verify: See the Integration Standard section.</t>
  </si>
  <si>
    <t>Levels you reached</t>
  </si>
  <si>
    <t>A level counts only if every item in it is Yes, and only if the level before it counts. Core 15 marks, Advanced 15, Outstanding 10.</t>
  </si>
  <si>
    <t>Level</t>
  </si>
  <si>
    <t>Item</t>
  </si>
  <si>
    <t>Done?</t>
  </si>
  <si>
    <t>Evidence links</t>
  </si>
  <si>
    <t>How we can see it (command, URL, file)</t>
  </si>
  <si>
    <t>Core</t>
  </si>
  <si>
    <t>All must-haves pass.</t>
  </si>
  <si>
    <t>10 varied inputs (for example a tutorial, a news summary, a product promo, a story; different accents; 20 seconds to 5 minutes) all produce usable videos.</t>
  </si>
  <si>
    <t>Average relevance of at least 3.5 out of 5 from our reviewers on your 10 test videos.</t>
  </si>
  <si>
    <t>Advanced</t>
  </si>
  <si>
    <t>At least two footage sources (for example a stock library and a generative video or image-to-video model) with a written, measurable rule for choosing between them, and the reason for each choice stored in timeline.json.</t>
  </si>
  <si>
    <t>Swap a clip: the user replaces one scene's clip and only the affected part is re-rendered, in clearly less time than a full render.</t>
  </si>
  <si>
    <t>Looks like one video: colour and brightness normalised across sources; sensible pacing (no flashing 0.5-second clips).</t>
  </si>
  <si>
    <t>Accepts IncuBrix scene lists (text plus visual hint per scene).</t>
  </si>
  <si>
    <t>Outstanding</t>
  </si>
  <si>
    <t>Measured relevance: an independent vision-language model scores each clip against its narration, and you show how well that score agrees with human ratings.</t>
  </si>
  <si>
    <t>Multilingual narration: Hindi and Tamil voiceovers work as well as English.</t>
  </si>
  <si>
    <t>Production numbers: time and cost to produce one minute of finished video, and how many jobs one server handles at once.</t>
  </si>
  <si>
    <t>At least 85% of scenes rated 4 or 5 out of 5 by our reviewers.</t>
  </si>
  <si>
    <t>Level reached (calculated)</t>
  </si>
  <si>
    <t>Level marks claimed (out of 40)</t>
  </si>
  <si>
    <t>Integration Standard - 2 marks each (20)</t>
  </si>
  <si>
    <t>Yes = fully meets it (2), Partial = partly (1), No = missing (0).</t>
  </si>
  <si>
    <t>Point</t>
  </si>
  <si>
    <t>What exactly we check</t>
  </si>
  <si>
    <t>1. One-command start and test</t>
  </si>
  <si>
    <t>docker compose up starts the service and everything it needs (database, storage, local test servers). One command runs all tests (unit, integration and at least one end-to-end) with no API keys. A .env.example lists every setting.</t>
  </si>
  <si>
    <t>2. Documented HTTP API</t>
  </si>
  <si>
    <t>An openapi.yaml (OpenAPI 3.1) that matches the running service exactly. All routes under /api/v1/.</t>
  </si>
  <si>
    <t>3. Background jobs</t>
  </si>
  <si>
    <t>Anything slower than 2 seconds runs as a job: POST returns 202 with a job_id; GET /api/v1/jobs/{job_id} returns status (queued, running, succeeded, failed), progress 0-100 and result links. Optional callback URL, signed with HMAC-SHA256 in an X-IncuBrix-Signature header.</t>
  </si>
  <si>
    <t>4. Safe retries</t>
  </si>
  <si>
    <t>An Idempotency-Key header on every POST: sending the same request twice with the same key returns the same job and never does the work twice.</t>
  </si>
  <si>
    <t>5. Clear errors</t>
  </si>
  <si>
    <t>Errors are JSON: {"error": {"code", "message", "retryable", "details"}}. Codes are UPPER_SNAKE_CASE and listed in the README.</t>
  </si>
  <si>
    <t>6. Configuration</t>
  </si>
  <si>
    <t>All settings, paths, model names and limits come from environment variables or a config file. No hard-coded paths or keys.</t>
  </si>
  <si>
    <t>7. Files in, files out</t>
  </si>
  <si>
    <t>Inputs accepted as an upload or a URL. Outputs saved to S3-compatible storage (MinIO in the compose file is fine) and returned as download links.</t>
  </si>
  <si>
    <t>8. Logs and health</t>
  </si>
  <si>
    <t>Structured JSON logs with timestamp, level, job_id and the X-Correlation-Id from the request. GET /health and GET /ready endpoints.</t>
  </si>
  <si>
    <t>9. Output manifest</t>
  </si>
  <si>
    <t>Every result includes a JSON manifest: which models/providers and versions were used, settings, seed, timings, cost estimate, warnings, and licence/rights information.</t>
  </si>
  <si>
    <t>10. Batch runner</t>
  </si>
  <si>
    <t>A command-line tool that runs a folder or file of test inputs against the API and writes all results to one folder. We use this to test every submission the same way.</t>
  </si>
  <si>
    <t>Integration marks claimed (out of 20)</t>
  </si>
  <si>
    <t>Measured numbers</t>
  </si>
  <si>
    <t>Real measurements only. State the hardware and the number of runs. 'Not measured' is acceptable; a guessed number is not.</t>
  </si>
  <si>
    <t>Metric</t>
  </si>
  <si>
    <t>How to measure it</t>
  </si>
  <si>
    <t>Your value</t>
  </si>
  <si>
    <t>Hardware / runs / conditions</t>
  </si>
  <si>
    <t>Turnaround</t>
  </si>
  <si>
    <t>Time from upload to finished video for 60 s of narration, cold and warm.</t>
  </si>
  <si>
    <t>Cost</t>
  </si>
  <si>
    <t>Cost per minute of finished video (footage APIs, generation, TTS, compute).</t>
  </si>
  <si>
    <t>Coverage</t>
  </si>
  <si>
    <t>Share of narration time covered by a clip you rate 3 or more out of 5.</t>
  </si>
  <si>
    <t>Relevance</t>
  </si>
  <si>
    <t>Your own 1-5 rating per scene (and the independent model score for Outstanding).</t>
  </si>
  <si>
    <t>Reliability</t>
  </si>
  <si>
    <t>Render success rate across all tests; repeat-clip rate (must be 0).</t>
  </si>
  <si>
    <t>Resources</t>
  </si>
  <si>
    <t>Peak memory and GPU time, if you used a GPU.</t>
  </si>
  <si>
    <t>Hard cases you tested</t>
  </si>
  <si>
    <t>For each situation, say what your system does and link to the test output. We will run 5 hidden tests of these kinds.</t>
  </si>
  <si>
    <t>Situation</t>
  </si>
  <si>
    <t>Tested?</t>
  </si>
  <si>
    <t>What your system does</t>
  </si>
  <si>
    <t>Abstract lines ("trust is earned slowly") and numbers or statistics ("sales grew 40% in 2025").</t>
  </si>
  <si>
    <t>A real, named person or brand mentioned in the narration.</t>
  </si>
  <si>
    <t>Words with double meanings: value, bank, cloud, mouse, python.</t>
  </si>
  <si>
    <t>A sad or sensitive news story.</t>
  </si>
  <si>
    <t>A 9:16 output where the important subject sits at the edge of a 16:9 clip.</t>
  </si>
  <si>
    <t>A 5-minute voiceover; silent audio; music-only audio; a wrong file type; an empty script.</t>
  </si>
  <si>
    <t>A footage provider that is down or returns nothing; a corrupted download; two users submitting at the same time.</t>
  </si>
  <si>
    <t>Declaration</t>
  </si>
  <si>
    <t>Answer every statement. Submissions without a completed declaration are not reviewed.</t>
  </si>
  <si>
    <t>This is my individual work. I can explain and change any part of it.</t>
  </si>
  <si>
    <t>Every claim in this form is true and backed by the evidence I linked.</t>
  </si>
  <si>
    <t>All AI tools, models, APIs, libraries, data and media are listed in SOURCES.md and AI_USE.md.</t>
  </si>
  <si>
    <t>Everything in my default path, and everything it outputs, is licensed for commercial use.</t>
  </si>
  <si>
    <t>No outputs were edited by hand and presented as automated.</t>
  </si>
  <si>
    <t>No real person's voice, face or content was used without consent, and no community was spammed.</t>
  </si>
  <si>
    <t>No API keys or secrets are in the repository, logs, screenshots or this form.</t>
  </si>
  <si>
    <t>My live demo and links will stay available until results are announced.</t>
  </si>
  <si>
    <t>Full name (as signature)</t>
  </si>
  <si>
    <t>Date</t>
  </si>
  <si>
    <t>SHANMATHI N</t>
  </si>
  <si>
    <t>shanmathi081@gmail.com</t>
  </si>
  <si>
    <t>Thiagarajar College of Engineering Degree: B.Tech(Information Technology)</t>
  </si>
  <si>
    <t>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</si>
</sst>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10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14212B"/>
      <name val="Arial"/>
      <charset val="1"/>
    </font>
    <font>
      <b/>
      <sz val="10"/>
      <color rgb="FF14212B"/>
      <name val="Arial"/>
      <charset val="1"/>
    </font>
    <font>
      <i/>
      <sz val="10"/>
      <color rgb="FF5B6B78"/>
      <name val="Arial"/>
      <charset val="1"/>
    </font>
    <font>
      <u/>
      <sz val="11"/>
      <color theme="10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rgb="FF0B1B2B"/>
        <bgColor rgb="FF14212B"/>
      </patternFill>
    </fill>
    <fill>
      <patternFill patternType="solid">
        <fgColor rgb="FF008F8A"/>
        <bgColor rgb="FF008080"/>
      </patternFill>
    </fill>
    <fill>
      <patternFill patternType="solid">
        <fgColor rgb="FFF3F5F7"/>
        <bgColor rgb="FFE7F5F3"/>
      </patternFill>
    </fill>
    <fill>
      <patternFill patternType="solid">
        <fgColor rgb="FF12324D"/>
        <bgColor rgb="FF14212B"/>
      </patternFill>
    </fill>
    <fill>
      <patternFill patternType="solid">
        <fgColor rgb="FFE7F5F3"/>
        <bgColor rgb="FFF3F5F7"/>
      </patternFill>
    </fill>
    <fill>
      <patternFill patternType="solid">
        <fgColor rgb="FFFFF4C7"/>
        <bgColor rgb="FFF3F5F7"/>
      </patternFill>
    </fill>
  </fills>
  <borders count="3">
    <border>
      <left/>
      <right/>
      <top/>
      <bottom/>
      <diagonal/>
    </border>
    <border>
      <left style="thin">
        <color rgb="FFD5DDE3"/>
      </left>
      <right/>
      <top style="thin">
        <color rgb="FFD5DDE3"/>
      </top>
      <bottom style="thin">
        <color rgb="FFD5DDE3"/>
      </bottom>
      <diagonal/>
    </border>
    <border>
      <left style="thin">
        <color rgb="FFD5DDE3"/>
      </left>
      <right style="thin">
        <color rgb="FFD5DDE3"/>
      </right>
      <top style="thin">
        <color rgb="FFD5DDE3"/>
      </top>
      <bottom style="thin">
        <color rgb="FFD5DDE3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5">
    <xf numFmtId="0" fontId="0" fillId="0" borderId="0" xfId="0"/>
    <xf numFmtId="0" fontId="5" fillId="6" borderId="2" xfId="0" applyFont="1" applyFill="1" applyBorder="1" applyAlignment="1">
      <alignment vertical="top" wrapText="1"/>
    </xf>
    <xf numFmtId="0" fontId="4" fillId="7" borderId="1" xfId="0" applyFont="1" applyFill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3" fillId="3" borderId="2" xfId="0" applyFont="1" applyFill="1" applyBorder="1" applyAlignment="1">
      <alignment vertical="top" wrapText="1"/>
    </xf>
    <xf numFmtId="0" fontId="4" fillId="0" borderId="2" xfId="0" applyFont="1" applyBorder="1" applyAlignment="1">
      <alignment vertical="top" wrapText="1"/>
    </xf>
    <xf numFmtId="0" fontId="5" fillId="4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4" fillId="5" borderId="2" xfId="0" applyFont="1" applyFill="1" applyBorder="1" applyAlignment="1">
      <alignment vertical="top" wrapText="1"/>
    </xf>
    <xf numFmtId="0" fontId="5" fillId="6" borderId="2" xfId="0" applyFont="1" applyFill="1" applyBorder="1" applyAlignment="1">
      <alignment vertical="top" wrapText="1"/>
    </xf>
    <xf numFmtId="0" fontId="4" fillId="7" borderId="2" xfId="0" applyFont="1" applyFill="1" applyBorder="1" applyAlignment="1">
      <alignment vertical="top" wrapText="1"/>
    </xf>
    <xf numFmtId="0" fontId="6" fillId="4" borderId="2" xfId="0" applyFont="1" applyFill="1" applyBorder="1" applyAlignment="1">
      <alignment vertical="top" wrapText="1"/>
    </xf>
    <xf numFmtId="0" fontId="7" fillId="7" borderId="2" xfId="1" applyFill="1" applyBorder="1" applyAlignment="1">
      <alignment vertical="top" wrapText="1"/>
    </xf>
    <xf numFmtId="0" fontId="4" fillId="7" borderId="2" xfId="0" applyFont="1" applyFill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F8A"/>
      <rgbColor rgb="FFC0C0C0"/>
      <rgbColor rgb="FF808080"/>
      <rgbColor rgb="FF9999FF"/>
      <rgbColor rgb="FF993366"/>
      <rgbColor rgb="FFFFF4C7"/>
      <rgbColor rgb="FFE7F5F3"/>
      <rgbColor rgb="FF660066"/>
      <rgbColor rgb="FFFF8080"/>
      <rgbColor rgb="FF0066CC"/>
      <rgbColor rgb="FFD5DD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5F7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B6B78"/>
      <rgbColor rgb="FF969696"/>
      <rgbColor rgb="FF12324D"/>
      <rgbColor rgb="FF339966"/>
      <rgbColor rgb="FF0B1B2B"/>
      <rgbColor rgb="FF333300"/>
      <rgbColor rgb="FF993300"/>
      <rgbColor rgb="FF993366"/>
      <rgbColor rgb="FF333399"/>
      <rgbColor rgb="FF1421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shanmathi08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zoomScaleNormal="100" workbookViewId="0">
      <selection sqref="A1:C1"/>
    </sheetView>
  </sheetViews>
  <sheetFormatPr defaultColWidth="8.6640625" defaultRowHeight="14.4" x14ac:dyDescent="0.3"/>
  <cols>
    <col min="1" max="1" width="6" customWidth="1"/>
    <col min="2" max="2" width="96" customWidth="1"/>
    <col min="3" max="3" width="16" customWidth="1"/>
  </cols>
  <sheetData>
    <row r="1" spans="1:3" ht="24" customHeight="1" x14ac:dyDescent="0.3">
      <c r="A1" s="4" t="s">
        <v>0</v>
      </c>
      <c r="B1" s="4"/>
      <c r="C1" s="4"/>
    </row>
    <row r="2" spans="1:3" ht="31.5" customHeight="1" x14ac:dyDescent="0.3">
      <c r="A2" s="3" t="s">
        <v>1</v>
      </c>
      <c r="B2" s="3"/>
      <c r="C2" s="3"/>
    </row>
    <row r="4" spans="1:3" ht="19.5" customHeight="1" x14ac:dyDescent="0.3">
      <c r="A4" s="5">
        <v>1</v>
      </c>
      <c r="B4" s="6" t="s">
        <v>2</v>
      </c>
    </row>
    <row r="5" spans="1:3" ht="19.5" customHeight="1" x14ac:dyDescent="0.3">
      <c r="A5" s="5">
        <v>2</v>
      </c>
      <c r="B5" s="6" t="s">
        <v>3</v>
      </c>
    </row>
    <row r="6" spans="1:3" ht="19.5" customHeight="1" x14ac:dyDescent="0.3">
      <c r="A6" s="5">
        <v>3</v>
      </c>
      <c r="B6" s="6" t="s">
        <v>4</v>
      </c>
    </row>
    <row r="7" spans="1:3" ht="19.5" customHeight="1" x14ac:dyDescent="0.3">
      <c r="A7" s="5">
        <v>4</v>
      </c>
      <c r="B7" s="6" t="s">
        <v>5</v>
      </c>
    </row>
    <row r="8" spans="1:3" ht="19.5" customHeight="1" x14ac:dyDescent="0.3">
      <c r="A8" s="5">
        <v>5</v>
      </c>
      <c r="B8" s="6" t="s">
        <v>6</v>
      </c>
    </row>
    <row r="9" spans="1:3" ht="19.5" customHeight="1" x14ac:dyDescent="0.3">
      <c r="A9" s="5">
        <v>6</v>
      </c>
      <c r="B9" s="6" t="s">
        <v>7</v>
      </c>
    </row>
    <row r="10" spans="1:3" ht="19.5" customHeight="1" x14ac:dyDescent="0.3">
      <c r="A10" s="5">
        <v>7</v>
      </c>
      <c r="B10" s="6" t="s">
        <v>8</v>
      </c>
    </row>
    <row r="11" spans="1:3" ht="19.5" customHeight="1" x14ac:dyDescent="0.3">
      <c r="A11" s="5">
        <v>8</v>
      </c>
      <c r="B11" s="6" t="s">
        <v>9</v>
      </c>
    </row>
    <row r="13" spans="1:3" x14ac:dyDescent="0.3">
      <c r="B13" s="7" t="s">
        <v>10</v>
      </c>
    </row>
    <row r="15" spans="1:3" x14ac:dyDescent="0.3">
      <c r="B15" s="8" t="s">
        <v>11</v>
      </c>
      <c r="C15" s="9"/>
    </row>
    <row r="16" spans="1:3" x14ac:dyDescent="0.3">
      <c r="B16" s="7" t="s">
        <v>12</v>
      </c>
      <c r="C16" s="10" t="str">
        <f>COUNTIF('2_Must_haves'!C6:C13,"Yes")&amp;" of 8"</f>
        <v>0 of 8</v>
      </c>
    </row>
    <row r="17" spans="2:3" x14ac:dyDescent="0.3">
      <c r="B17" s="7" t="s">
        <v>13</v>
      </c>
      <c r="C17" s="10" t="str">
        <f>'3_Levels'!C17</f>
        <v>Below Core</v>
      </c>
    </row>
    <row r="18" spans="2:3" x14ac:dyDescent="0.3">
      <c r="B18" s="7" t="s">
        <v>14</v>
      </c>
      <c r="C18" s="10">
        <f>'3_Levels'!C18</f>
        <v>0</v>
      </c>
    </row>
    <row r="19" spans="2:3" x14ac:dyDescent="0.3">
      <c r="B19" s="7" t="s">
        <v>15</v>
      </c>
      <c r="C19" s="10">
        <f>'4_Integration'!C15</f>
        <v>0</v>
      </c>
    </row>
    <row r="20" spans="2:3" x14ac:dyDescent="0.3">
      <c r="B20" s="7" t="s">
        <v>16</v>
      </c>
      <c r="C20" s="10">
        <f>'3_Levels'!C18+'4_Integration'!C15</f>
        <v>0</v>
      </c>
    </row>
    <row r="22" spans="2:3" ht="43.5" customHeight="1" x14ac:dyDescent="0.3">
      <c r="B22" s="2" t="s">
        <v>17</v>
      </c>
      <c r="C22" s="2"/>
    </row>
  </sheetData>
  <mergeCells count="3">
    <mergeCell ref="A1:C1"/>
    <mergeCell ref="A2:C2"/>
    <mergeCell ref="B22:C2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8"/>
  <sheetViews>
    <sheetView tabSelected="1" topLeftCell="A3" zoomScaleNormal="100" workbookViewId="0">
      <selection activeCell="B8" sqref="B8"/>
    </sheetView>
  </sheetViews>
  <sheetFormatPr defaultColWidth="8.6640625" defaultRowHeight="14.4" x14ac:dyDescent="0.3"/>
  <cols>
    <col min="1" max="1" width="34" customWidth="1"/>
    <col min="2" max="2" width="70" customWidth="1"/>
  </cols>
  <sheetData>
    <row r="1" spans="1:2" ht="24" customHeight="1" x14ac:dyDescent="0.3">
      <c r="A1" s="4" t="s">
        <v>18</v>
      </c>
      <c r="B1" s="4"/>
    </row>
    <row r="2" spans="1:2" ht="31.5" customHeight="1" x14ac:dyDescent="0.3">
      <c r="A2" s="3" t="s">
        <v>19</v>
      </c>
      <c r="B2" s="3"/>
    </row>
    <row r="4" spans="1:2" ht="19.5" customHeight="1" x14ac:dyDescent="0.3">
      <c r="A4" s="7" t="s">
        <v>20</v>
      </c>
      <c r="B4" s="11" t="s">
        <v>145</v>
      </c>
    </row>
    <row r="5" spans="1:2" ht="19.5" customHeight="1" x14ac:dyDescent="0.3">
      <c r="A5" s="7" t="s">
        <v>21</v>
      </c>
      <c r="B5" s="13" t="s">
        <v>146</v>
      </c>
    </row>
    <row r="6" spans="1:2" ht="19.5" customHeight="1" x14ac:dyDescent="0.3">
      <c r="A6" s="7" t="s">
        <v>22</v>
      </c>
      <c r="B6" s="14">
        <v>6374336523</v>
      </c>
    </row>
    <row r="7" spans="1:2" ht="19.5" customHeight="1" x14ac:dyDescent="0.3">
      <c r="A7" s="7" t="s">
        <v>23</v>
      </c>
      <c r="B7" s="11" t="s">
        <v>147</v>
      </c>
    </row>
    <row r="8" spans="1:2" ht="19.5" customHeight="1" x14ac:dyDescent="0.3">
      <c r="A8" s="7" t="s">
        <v>24</v>
      </c>
      <c r="B8" s="14">
        <v>2027</v>
      </c>
    </row>
    <row r="9" spans="1:2" ht="19.5" customHeight="1" x14ac:dyDescent="0.3">
      <c r="A9" s="7" t="s">
        <v>25</v>
      </c>
      <c r="B9" s="11"/>
    </row>
    <row r="10" spans="1:2" ht="19.5" customHeight="1" x14ac:dyDescent="0.3">
      <c r="A10" s="7" t="s">
        <v>26</v>
      </c>
      <c r="B10" s="11"/>
    </row>
    <row r="11" spans="1:2" ht="19.5" customHeight="1" x14ac:dyDescent="0.3">
      <c r="A11" s="7" t="s">
        <v>27</v>
      </c>
      <c r="B11" s="11"/>
    </row>
    <row r="12" spans="1:2" ht="19.5" customHeight="1" x14ac:dyDescent="0.3">
      <c r="A12" s="7" t="s">
        <v>28</v>
      </c>
      <c r="B12" s="11"/>
    </row>
    <row r="13" spans="1:2" ht="19.5" customHeight="1" x14ac:dyDescent="0.3">
      <c r="A13" s="7" t="s">
        <v>29</v>
      </c>
      <c r="B13" s="11"/>
    </row>
    <row r="14" spans="1:2" ht="19.5" customHeight="1" x14ac:dyDescent="0.3">
      <c r="A14" s="7" t="s">
        <v>30</v>
      </c>
      <c r="B14" s="11"/>
    </row>
    <row r="15" spans="1:2" ht="19.5" customHeight="1" x14ac:dyDescent="0.3">
      <c r="A15" s="7" t="s">
        <v>31</v>
      </c>
      <c r="B15" s="11" t="s">
        <v>148</v>
      </c>
    </row>
    <row r="16" spans="1:2" ht="19.5" customHeight="1" x14ac:dyDescent="0.3">
      <c r="A16" s="7" t="s">
        <v>32</v>
      </c>
      <c r="B16" s="11"/>
    </row>
    <row r="17" spans="1:2" ht="19.5" customHeight="1" x14ac:dyDescent="0.3">
      <c r="A17" s="7" t="s">
        <v>33</v>
      </c>
      <c r="B17" s="11"/>
    </row>
    <row r="18" spans="1:2" ht="19.5" customHeight="1" x14ac:dyDescent="0.3">
      <c r="A18" s="7" t="s">
        <v>34</v>
      </c>
      <c r="B18" s="11"/>
    </row>
  </sheetData>
  <mergeCells count="2">
    <mergeCell ref="A1:B1"/>
    <mergeCell ref="A2:B2"/>
  </mergeCells>
  <hyperlinks>
    <hyperlink ref="B5" r:id="rId1" xr:uid="{BCFE10A7-6A5E-4455-8995-F8A7EDA64950}"/>
  </hyperlink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3"/>
  <sheetViews>
    <sheetView zoomScaleNormal="100" workbookViewId="0"/>
  </sheetViews>
  <sheetFormatPr defaultColWidth="8.6640625" defaultRowHeight="14.4" x14ac:dyDescent="0.3"/>
  <cols>
    <col min="1" max="1" width="5" customWidth="1"/>
    <col min="2" max="2" width="60" customWidth="1"/>
    <col min="3" max="3" width="10" customWidth="1"/>
    <col min="4" max="4" width="50" customWidth="1"/>
    <col min="5" max="5" width="36" customWidth="1"/>
  </cols>
  <sheetData>
    <row r="1" spans="1:5" ht="24" customHeight="1" x14ac:dyDescent="0.3">
      <c r="A1" s="4" t="s">
        <v>35</v>
      </c>
      <c r="B1" s="4"/>
      <c r="C1" s="4"/>
      <c r="D1" s="4"/>
      <c r="E1" s="4"/>
    </row>
    <row r="2" spans="1:5" ht="31.5" customHeight="1" x14ac:dyDescent="0.3">
      <c r="A2" s="3" t="s">
        <v>36</v>
      </c>
      <c r="B2" s="3"/>
      <c r="C2" s="3"/>
      <c r="D2" s="3"/>
      <c r="E2" s="3"/>
    </row>
    <row r="4" spans="1:5" ht="30" customHeight="1" x14ac:dyDescent="0.3">
      <c r="A4" s="8" t="s">
        <v>37</v>
      </c>
      <c r="B4" s="8" t="s">
        <v>38</v>
      </c>
      <c r="C4" s="8" t="s">
        <v>39</v>
      </c>
      <c r="D4" s="8" t="s">
        <v>40</v>
      </c>
      <c r="E4" s="8" t="s">
        <v>41</v>
      </c>
    </row>
    <row r="5" spans="1:5" ht="26.4" x14ac:dyDescent="0.3">
      <c r="A5" s="12" t="s">
        <v>42</v>
      </c>
      <c r="B5" s="12" t="s">
        <v>43</v>
      </c>
      <c r="C5" s="12" t="s">
        <v>44</v>
      </c>
      <c r="D5" s="12" t="s">
        <v>45</v>
      </c>
      <c r="E5" s="12" t="s">
        <v>46</v>
      </c>
    </row>
    <row r="6" spans="1:5" ht="42" customHeight="1" x14ac:dyDescent="0.3">
      <c r="A6" s="6">
        <v>1</v>
      </c>
      <c r="B6" s="6" t="s">
        <v>47</v>
      </c>
      <c r="C6" s="11"/>
      <c r="D6" s="11"/>
      <c r="E6" s="11"/>
    </row>
    <row r="7" spans="1:5" ht="69.75" customHeight="1" x14ac:dyDescent="0.3">
      <c r="A7" s="6">
        <v>2</v>
      </c>
      <c r="B7" s="6" t="s">
        <v>48</v>
      </c>
      <c r="C7" s="11"/>
      <c r="D7" s="11"/>
      <c r="E7" s="11"/>
    </row>
    <row r="8" spans="1:5" ht="55.5" customHeight="1" x14ac:dyDescent="0.3">
      <c r="A8" s="6">
        <v>3</v>
      </c>
      <c r="B8" s="6" t="s">
        <v>49</v>
      </c>
      <c r="C8" s="11"/>
      <c r="D8" s="11"/>
      <c r="E8" s="11"/>
    </row>
    <row r="9" spans="1:5" ht="55.5" customHeight="1" x14ac:dyDescent="0.3">
      <c r="A9" s="6">
        <v>4</v>
      </c>
      <c r="B9" s="6" t="s">
        <v>50</v>
      </c>
      <c r="C9" s="11"/>
      <c r="D9" s="11"/>
      <c r="E9" s="11"/>
    </row>
    <row r="10" spans="1:5" ht="55.5" customHeight="1" x14ac:dyDescent="0.3">
      <c r="A10" s="6">
        <v>5</v>
      </c>
      <c r="B10" s="6" t="s">
        <v>51</v>
      </c>
      <c r="C10" s="11"/>
      <c r="D10" s="11"/>
      <c r="E10" s="11"/>
    </row>
    <row r="11" spans="1:5" ht="55.5" customHeight="1" x14ac:dyDescent="0.3">
      <c r="A11" s="6">
        <v>6</v>
      </c>
      <c r="B11" s="6" t="s">
        <v>52</v>
      </c>
      <c r="C11" s="11"/>
      <c r="D11" s="11"/>
      <c r="E11" s="11"/>
    </row>
    <row r="12" spans="1:5" ht="55.5" customHeight="1" x14ac:dyDescent="0.3">
      <c r="A12" s="6">
        <v>7</v>
      </c>
      <c r="B12" s="6" t="s">
        <v>53</v>
      </c>
      <c r="C12" s="11"/>
      <c r="D12" s="11"/>
      <c r="E12" s="11"/>
    </row>
    <row r="13" spans="1:5" ht="42" customHeight="1" x14ac:dyDescent="0.3">
      <c r="A13" s="6">
        <v>8</v>
      </c>
      <c r="B13" s="6" t="s">
        <v>54</v>
      </c>
      <c r="C13" s="11"/>
      <c r="D13" s="11"/>
      <c r="E13" s="11"/>
    </row>
  </sheetData>
  <mergeCells count="2">
    <mergeCell ref="A1:E1"/>
    <mergeCell ref="A2:E2"/>
  </mergeCells>
  <dataValidations count="1">
    <dataValidation type="list" allowBlank="1" sqref="C6:C13" xr:uid="{00000000-0002-0000-02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8"/>
  <sheetViews>
    <sheetView zoomScaleNormal="100" workbookViewId="0"/>
  </sheetViews>
  <sheetFormatPr defaultColWidth="8.6640625" defaultRowHeight="14.4" x14ac:dyDescent="0.3"/>
  <cols>
    <col min="1" max="1" width="14" customWidth="1"/>
    <col min="2" max="2" width="62" customWidth="1"/>
    <col min="3" max="3" width="11" customWidth="1"/>
    <col min="4" max="4" width="44" customWidth="1"/>
    <col min="5" max="5" width="34" customWidth="1"/>
  </cols>
  <sheetData>
    <row r="1" spans="1:5" ht="24" customHeight="1" x14ac:dyDescent="0.3">
      <c r="A1" s="4" t="s">
        <v>55</v>
      </c>
      <c r="B1" s="4"/>
      <c r="C1" s="4"/>
      <c r="D1" s="4"/>
      <c r="E1" s="4"/>
    </row>
    <row r="2" spans="1:5" ht="31.5" customHeight="1" x14ac:dyDescent="0.3">
      <c r="A2" s="3" t="s">
        <v>56</v>
      </c>
      <c r="B2" s="3"/>
      <c r="C2" s="3"/>
      <c r="D2" s="3"/>
      <c r="E2" s="3"/>
    </row>
    <row r="4" spans="1:5" ht="30" customHeight="1" x14ac:dyDescent="0.3">
      <c r="A4" s="8" t="s">
        <v>57</v>
      </c>
      <c r="B4" s="8" t="s">
        <v>58</v>
      </c>
      <c r="C4" s="8" t="s">
        <v>59</v>
      </c>
      <c r="D4" s="8" t="s">
        <v>60</v>
      </c>
      <c r="E4" s="8" t="s">
        <v>61</v>
      </c>
    </row>
    <row r="5" spans="1:5" ht="19.5" customHeight="1" x14ac:dyDescent="0.3">
      <c r="A5" s="7" t="s">
        <v>62</v>
      </c>
      <c r="B5" s="6" t="s">
        <v>63</v>
      </c>
      <c r="C5" s="11"/>
      <c r="D5" s="11"/>
      <c r="E5" s="11"/>
    </row>
    <row r="6" spans="1:5" ht="42" customHeight="1" x14ac:dyDescent="0.3">
      <c r="A6" s="7" t="s">
        <v>62</v>
      </c>
      <c r="B6" s="6" t="s">
        <v>64</v>
      </c>
      <c r="C6" s="11"/>
      <c r="D6" s="11"/>
      <c r="E6" s="11"/>
    </row>
    <row r="7" spans="1:5" ht="27.75" customHeight="1" x14ac:dyDescent="0.3">
      <c r="A7" s="7" t="s">
        <v>62</v>
      </c>
      <c r="B7" s="6" t="s">
        <v>65</v>
      </c>
      <c r="C7" s="11"/>
      <c r="D7" s="11"/>
      <c r="E7" s="11"/>
    </row>
    <row r="8" spans="1:5" ht="55.5" customHeight="1" x14ac:dyDescent="0.3">
      <c r="A8" s="7" t="s">
        <v>66</v>
      </c>
      <c r="B8" s="6" t="s">
        <v>67</v>
      </c>
      <c r="C8" s="11"/>
      <c r="D8" s="11"/>
      <c r="E8" s="11"/>
    </row>
    <row r="9" spans="1:5" ht="42" customHeight="1" x14ac:dyDescent="0.3">
      <c r="A9" s="7" t="s">
        <v>66</v>
      </c>
      <c r="B9" s="6" t="s">
        <v>68</v>
      </c>
      <c r="C9" s="11"/>
      <c r="D9" s="11"/>
      <c r="E9" s="11"/>
    </row>
    <row r="10" spans="1:5" ht="42" customHeight="1" x14ac:dyDescent="0.3">
      <c r="A10" s="7" t="s">
        <v>66</v>
      </c>
      <c r="B10" s="6" t="s">
        <v>69</v>
      </c>
      <c r="C10" s="11"/>
      <c r="D10" s="11"/>
      <c r="E10" s="11"/>
    </row>
    <row r="11" spans="1:5" ht="27.75" customHeight="1" x14ac:dyDescent="0.3">
      <c r="A11" s="7" t="s">
        <v>66</v>
      </c>
      <c r="B11" s="6" t="s">
        <v>70</v>
      </c>
      <c r="C11" s="11"/>
      <c r="D11" s="11"/>
      <c r="E11" s="11"/>
    </row>
    <row r="12" spans="1:5" ht="42" customHeight="1" x14ac:dyDescent="0.3">
      <c r="A12" s="7" t="s">
        <v>71</v>
      </c>
      <c r="B12" s="6" t="s">
        <v>72</v>
      </c>
      <c r="C12" s="11"/>
      <c r="D12" s="11"/>
      <c r="E12" s="11"/>
    </row>
    <row r="13" spans="1:5" ht="27.75" customHeight="1" x14ac:dyDescent="0.3">
      <c r="A13" s="7" t="s">
        <v>71</v>
      </c>
      <c r="B13" s="6" t="s">
        <v>73</v>
      </c>
      <c r="C13" s="11"/>
      <c r="D13" s="11"/>
      <c r="E13" s="11"/>
    </row>
    <row r="14" spans="1:5" ht="42" customHeight="1" x14ac:dyDescent="0.3">
      <c r="A14" s="7" t="s">
        <v>71</v>
      </c>
      <c r="B14" s="6" t="s">
        <v>74</v>
      </c>
      <c r="C14" s="11"/>
      <c r="D14" s="11"/>
      <c r="E14" s="11"/>
    </row>
    <row r="15" spans="1:5" ht="27.75" customHeight="1" x14ac:dyDescent="0.3">
      <c r="A15" s="7" t="s">
        <v>71</v>
      </c>
      <c r="B15" s="6" t="s">
        <v>75</v>
      </c>
      <c r="C15" s="11"/>
      <c r="D15" s="11"/>
      <c r="E15" s="11"/>
    </row>
    <row r="17" spans="2:4" x14ac:dyDescent="0.3">
      <c r="B17" s="7" t="s">
        <v>76</v>
      </c>
      <c r="C17" s="1" t="str">
        <f>IF(AND(AND(COUNTIF(C5:C7,"Yes")=3,COUNTIF(C8:C11,"Yes")=4),COUNTIF(C12:C15,"Yes")=4),"Outstanding",IF(AND(COUNTIF(C5:C7,"Yes")=3,COUNTIF(C8:C11,"Yes")=4),"Advanced",IF(COUNTIF(C5:C7,"Yes")=3,"Core","Below Core")))</f>
        <v>Below Core</v>
      </c>
      <c r="D17" s="1"/>
    </row>
    <row r="18" spans="2:4" x14ac:dyDescent="0.3">
      <c r="B18" s="7" t="s">
        <v>77</v>
      </c>
      <c r="C18" s="10">
        <f>IF(AND(AND(COUNTIF(C5:C7,"Yes")=3,COUNTIF(C8:C11,"Yes")=4),COUNTIF(C12:C15,"Yes")=4),40,IF(AND(COUNTIF(C5:C7,"Yes")=3,COUNTIF(C8:C11,"Yes")=4),30,IF(COUNTIF(C5:C7,"Yes")=3,15,0)))</f>
        <v>0</v>
      </c>
    </row>
  </sheetData>
  <mergeCells count="3">
    <mergeCell ref="A1:E1"/>
    <mergeCell ref="A2:E2"/>
    <mergeCell ref="C17:D17"/>
  </mergeCells>
  <dataValidations count="1">
    <dataValidation type="list" allowBlank="1" sqref="C5:C15" xr:uid="{00000000-0002-0000-0300-000000000000}">
      <formula1>"Yes,Partial,No"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5"/>
  <sheetViews>
    <sheetView zoomScaleNormal="100" workbookViewId="0"/>
  </sheetViews>
  <sheetFormatPr defaultColWidth="8.6640625" defaultRowHeight="14.4" x14ac:dyDescent="0.3"/>
  <cols>
    <col min="1" max="1" width="30" customWidth="1"/>
    <col min="2" max="2" width="58" customWidth="1"/>
    <col min="3" max="3" width="11" customWidth="1"/>
    <col min="4" max="4" width="46" customWidth="1"/>
  </cols>
  <sheetData>
    <row r="1" spans="1:4" ht="24" customHeight="1" x14ac:dyDescent="0.3">
      <c r="A1" s="4" t="s">
        <v>78</v>
      </c>
      <c r="B1" s="4"/>
      <c r="C1" s="4"/>
      <c r="D1" s="4"/>
    </row>
    <row r="2" spans="1:4" ht="31.5" customHeight="1" x14ac:dyDescent="0.3">
      <c r="A2" s="3" t="s">
        <v>79</v>
      </c>
      <c r="B2" s="3"/>
      <c r="C2" s="3"/>
      <c r="D2" s="3"/>
    </row>
    <row r="4" spans="1:4" ht="30" customHeight="1" x14ac:dyDescent="0.3">
      <c r="A4" s="8" t="s">
        <v>80</v>
      </c>
      <c r="B4" s="8" t="s">
        <v>81</v>
      </c>
      <c r="C4" s="8" t="s">
        <v>59</v>
      </c>
      <c r="D4" s="8" t="s">
        <v>60</v>
      </c>
    </row>
    <row r="5" spans="1:4" ht="69.75" customHeight="1" x14ac:dyDescent="0.3">
      <c r="A5" s="7" t="s">
        <v>82</v>
      </c>
      <c r="B5" s="6" t="s">
        <v>83</v>
      </c>
      <c r="C5" s="11"/>
      <c r="D5" s="11"/>
    </row>
    <row r="6" spans="1:4" ht="27.75" customHeight="1" x14ac:dyDescent="0.3">
      <c r="A6" s="7" t="s">
        <v>84</v>
      </c>
      <c r="B6" s="6" t="s">
        <v>85</v>
      </c>
      <c r="C6" s="11"/>
      <c r="D6" s="11"/>
    </row>
    <row r="7" spans="1:4" ht="69.75" customHeight="1" x14ac:dyDescent="0.3">
      <c r="A7" s="7" t="s">
        <v>86</v>
      </c>
      <c r="B7" s="6" t="s">
        <v>87</v>
      </c>
      <c r="C7" s="11"/>
      <c r="D7" s="11"/>
    </row>
    <row r="8" spans="1:4" ht="42" customHeight="1" x14ac:dyDescent="0.3">
      <c r="A8" s="7" t="s">
        <v>88</v>
      </c>
      <c r="B8" s="6" t="s">
        <v>89</v>
      </c>
      <c r="C8" s="11"/>
      <c r="D8" s="11"/>
    </row>
    <row r="9" spans="1:4" ht="42" customHeight="1" x14ac:dyDescent="0.3">
      <c r="A9" s="7" t="s">
        <v>90</v>
      </c>
      <c r="B9" s="6" t="s">
        <v>91</v>
      </c>
      <c r="C9" s="11"/>
      <c r="D9" s="11"/>
    </row>
    <row r="10" spans="1:4" ht="42" customHeight="1" x14ac:dyDescent="0.3">
      <c r="A10" s="7" t="s">
        <v>92</v>
      </c>
      <c r="B10" s="6" t="s">
        <v>93</v>
      </c>
      <c r="C10" s="11"/>
      <c r="D10" s="11"/>
    </row>
    <row r="11" spans="1:4" ht="42" customHeight="1" x14ac:dyDescent="0.3">
      <c r="A11" s="7" t="s">
        <v>94</v>
      </c>
      <c r="B11" s="6" t="s">
        <v>95</v>
      </c>
      <c r="C11" s="11"/>
      <c r="D11" s="11"/>
    </row>
    <row r="12" spans="1:4" ht="42" customHeight="1" x14ac:dyDescent="0.3">
      <c r="A12" s="7" t="s">
        <v>96</v>
      </c>
      <c r="B12" s="6" t="s">
        <v>97</v>
      </c>
      <c r="C12" s="11"/>
      <c r="D12" s="11"/>
    </row>
    <row r="13" spans="1:4" ht="55.5" customHeight="1" x14ac:dyDescent="0.3">
      <c r="A13" s="7" t="s">
        <v>98</v>
      </c>
      <c r="B13" s="6" t="s">
        <v>99</v>
      </c>
      <c r="C13" s="11"/>
      <c r="D13" s="11"/>
    </row>
    <row r="14" spans="1:4" ht="55.5" customHeight="1" x14ac:dyDescent="0.3">
      <c r="A14" s="7" t="s">
        <v>100</v>
      </c>
      <c r="B14" s="6" t="s">
        <v>101</v>
      </c>
      <c r="C14" s="11"/>
      <c r="D14" s="11"/>
    </row>
    <row r="15" spans="1:4" x14ac:dyDescent="0.3">
      <c r="B15" s="7" t="s">
        <v>102</v>
      </c>
      <c r="C15" s="10">
        <f>COUNTIF(C5:C14,"Yes")*2+COUNTIF(C5:C14,"Partial")</f>
        <v>0</v>
      </c>
    </row>
  </sheetData>
  <mergeCells count="2">
    <mergeCell ref="A1:D1"/>
    <mergeCell ref="A2:D2"/>
  </mergeCells>
  <dataValidations count="1">
    <dataValidation type="list" allowBlank="1" sqref="C5:C14" xr:uid="{00000000-0002-0000-0400-000000000000}">
      <formula1>"Yes,Partial,No"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0"/>
  <sheetViews>
    <sheetView zoomScaleNormal="100" workbookViewId="0"/>
  </sheetViews>
  <sheetFormatPr defaultColWidth="8.6640625" defaultRowHeight="14.4" x14ac:dyDescent="0.3"/>
  <cols>
    <col min="1" max="1" width="28" customWidth="1"/>
    <col min="2" max="2" width="50" customWidth="1"/>
    <col min="3" max="3" width="20" customWidth="1"/>
    <col min="4" max="4" width="34" customWidth="1"/>
    <col min="5" max="5" width="40" customWidth="1"/>
  </cols>
  <sheetData>
    <row r="1" spans="1:5" ht="24" customHeight="1" x14ac:dyDescent="0.3">
      <c r="A1" s="4" t="s">
        <v>103</v>
      </c>
      <c r="B1" s="4"/>
      <c r="C1" s="4"/>
      <c r="D1" s="4"/>
      <c r="E1" s="4"/>
    </row>
    <row r="2" spans="1:5" ht="31.5" customHeight="1" x14ac:dyDescent="0.3">
      <c r="A2" s="3" t="s">
        <v>104</v>
      </c>
      <c r="B2" s="3"/>
      <c r="C2" s="3"/>
      <c r="D2" s="3"/>
      <c r="E2" s="3"/>
    </row>
    <row r="4" spans="1:5" ht="30" customHeight="1" x14ac:dyDescent="0.3">
      <c r="A4" s="8" t="s">
        <v>105</v>
      </c>
      <c r="B4" s="8" t="s">
        <v>106</v>
      </c>
      <c r="C4" s="8" t="s">
        <v>107</v>
      </c>
      <c r="D4" s="8" t="s">
        <v>108</v>
      </c>
      <c r="E4" s="8" t="s">
        <v>60</v>
      </c>
    </row>
    <row r="5" spans="1:5" ht="27.75" customHeight="1" x14ac:dyDescent="0.3">
      <c r="A5" s="7" t="s">
        <v>109</v>
      </c>
      <c r="B5" s="6" t="s">
        <v>110</v>
      </c>
      <c r="C5" s="11"/>
      <c r="D5" s="11"/>
      <c r="E5" s="11"/>
    </row>
    <row r="6" spans="1:5" ht="27.75" customHeight="1" x14ac:dyDescent="0.3">
      <c r="A6" s="7" t="s">
        <v>111</v>
      </c>
      <c r="B6" s="6" t="s">
        <v>112</v>
      </c>
      <c r="C6" s="11"/>
      <c r="D6" s="11"/>
      <c r="E6" s="11"/>
    </row>
    <row r="7" spans="1:5" ht="27.75" customHeight="1" x14ac:dyDescent="0.3">
      <c r="A7" s="7" t="s">
        <v>113</v>
      </c>
      <c r="B7" s="6" t="s">
        <v>114</v>
      </c>
      <c r="C7" s="11"/>
      <c r="D7" s="11"/>
      <c r="E7" s="11"/>
    </row>
    <row r="8" spans="1:5" ht="27.75" customHeight="1" x14ac:dyDescent="0.3">
      <c r="A8" s="7" t="s">
        <v>115</v>
      </c>
      <c r="B8" s="6" t="s">
        <v>116</v>
      </c>
      <c r="C8" s="11"/>
      <c r="D8" s="11"/>
      <c r="E8" s="11"/>
    </row>
    <row r="9" spans="1:5" ht="27.75" customHeight="1" x14ac:dyDescent="0.3">
      <c r="A9" s="7" t="s">
        <v>117</v>
      </c>
      <c r="B9" s="6" t="s">
        <v>118</v>
      </c>
      <c r="C9" s="11"/>
      <c r="D9" s="11"/>
      <c r="E9" s="11"/>
    </row>
    <row r="10" spans="1:5" ht="19.5" customHeight="1" x14ac:dyDescent="0.3">
      <c r="A10" s="7" t="s">
        <v>119</v>
      </c>
      <c r="B10" s="6" t="s">
        <v>120</v>
      </c>
      <c r="C10" s="11"/>
      <c r="D10" s="11"/>
      <c r="E10" s="11"/>
    </row>
  </sheetData>
  <mergeCells count="2">
    <mergeCell ref="A1:E1"/>
    <mergeCell ref="A2:E2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"/>
  <sheetViews>
    <sheetView zoomScaleNormal="100" workbookViewId="0"/>
  </sheetViews>
  <sheetFormatPr defaultColWidth="8.6640625" defaultRowHeight="14.4" x14ac:dyDescent="0.3"/>
  <cols>
    <col min="1" max="1" width="5" customWidth="1"/>
    <col min="2" max="2" width="52" customWidth="1"/>
    <col min="3" max="3" width="11" customWidth="1"/>
    <col min="4" max="4" width="50" customWidth="1"/>
    <col min="5" max="5" width="40" customWidth="1"/>
  </cols>
  <sheetData>
    <row r="1" spans="1:5" ht="24" customHeight="1" x14ac:dyDescent="0.3">
      <c r="A1" s="4" t="s">
        <v>121</v>
      </c>
      <c r="B1" s="4"/>
      <c r="C1" s="4"/>
      <c r="D1" s="4"/>
      <c r="E1" s="4"/>
    </row>
    <row r="2" spans="1:5" ht="31.5" customHeight="1" x14ac:dyDescent="0.3">
      <c r="A2" s="3" t="s">
        <v>122</v>
      </c>
      <c r="B2" s="3"/>
      <c r="C2" s="3"/>
      <c r="D2" s="3"/>
      <c r="E2" s="3"/>
    </row>
    <row r="4" spans="1:5" ht="30" customHeight="1" x14ac:dyDescent="0.3">
      <c r="A4" s="8" t="s">
        <v>37</v>
      </c>
      <c r="B4" s="8" t="s">
        <v>123</v>
      </c>
      <c r="C4" s="8" t="s">
        <v>124</v>
      </c>
      <c r="D4" s="8" t="s">
        <v>125</v>
      </c>
      <c r="E4" s="8" t="s">
        <v>60</v>
      </c>
    </row>
    <row r="5" spans="1:5" ht="27.75" customHeight="1" x14ac:dyDescent="0.3">
      <c r="A5" s="6">
        <v>1</v>
      </c>
      <c r="B5" s="6" t="s">
        <v>126</v>
      </c>
      <c r="C5" s="11"/>
      <c r="D5" s="11"/>
      <c r="E5" s="11"/>
    </row>
    <row r="6" spans="1:5" ht="27.75" customHeight="1" x14ac:dyDescent="0.3">
      <c r="A6" s="6">
        <v>2</v>
      </c>
      <c r="B6" s="6" t="s">
        <v>127</v>
      </c>
      <c r="C6" s="11"/>
      <c r="D6" s="11"/>
      <c r="E6" s="11"/>
    </row>
    <row r="7" spans="1:5" ht="27.75" customHeight="1" x14ac:dyDescent="0.3">
      <c r="A7" s="6">
        <v>3</v>
      </c>
      <c r="B7" s="6" t="s">
        <v>128</v>
      </c>
      <c r="C7" s="11"/>
      <c r="D7" s="11"/>
      <c r="E7" s="11"/>
    </row>
    <row r="8" spans="1:5" ht="19.5" customHeight="1" x14ac:dyDescent="0.3">
      <c r="A8" s="6">
        <v>4</v>
      </c>
      <c r="B8" s="6" t="s">
        <v>129</v>
      </c>
      <c r="C8" s="11"/>
      <c r="D8" s="11"/>
      <c r="E8" s="11"/>
    </row>
    <row r="9" spans="1:5" ht="27.75" customHeight="1" x14ac:dyDescent="0.3">
      <c r="A9" s="6">
        <v>5</v>
      </c>
      <c r="B9" s="6" t="s">
        <v>130</v>
      </c>
      <c r="C9" s="11"/>
      <c r="D9" s="11"/>
      <c r="E9" s="11"/>
    </row>
    <row r="10" spans="1:5" ht="27.75" customHeight="1" x14ac:dyDescent="0.3">
      <c r="A10" s="6">
        <v>6</v>
      </c>
      <c r="B10" s="6" t="s">
        <v>131</v>
      </c>
      <c r="C10" s="11"/>
      <c r="D10" s="11"/>
      <c r="E10" s="11"/>
    </row>
    <row r="11" spans="1:5" ht="42" customHeight="1" x14ac:dyDescent="0.3">
      <c r="A11" s="6">
        <v>7</v>
      </c>
      <c r="B11" s="6" t="s">
        <v>132</v>
      </c>
      <c r="C11" s="11"/>
      <c r="D11" s="11"/>
      <c r="E11" s="11"/>
    </row>
  </sheetData>
  <mergeCells count="2">
    <mergeCell ref="A1:E1"/>
    <mergeCell ref="A2:E2"/>
  </mergeCells>
  <dataValidations count="1">
    <dataValidation type="list" allowBlank="1" sqref="C5:C11" xr:uid="{00000000-0002-0000-06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3"/>
  <sheetViews>
    <sheetView zoomScaleNormal="100" workbookViewId="0"/>
  </sheetViews>
  <sheetFormatPr defaultColWidth="8.6640625" defaultRowHeight="14.4" x14ac:dyDescent="0.3"/>
  <cols>
    <col min="1" max="1" width="80" customWidth="1"/>
    <col min="2" max="2" width="14" customWidth="1"/>
  </cols>
  <sheetData>
    <row r="1" spans="1:2" ht="24" customHeight="1" x14ac:dyDescent="0.3">
      <c r="A1" s="4" t="s">
        <v>133</v>
      </c>
      <c r="B1" s="4"/>
    </row>
    <row r="2" spans="1:2" ht="31.5" customHeight="1" x14ac:dyDescent="0.3">
      <c r="A2" s="3" t="s">
        <v>134</v>
      </c>
      <c r="B2" s="3"/>
    </row>
    <row r="4" spans="1:2" ht="19.5" customHeight="1" x14ac:dyDescent="0.3">
      <c r="A4" s="6" t="s">
        <v>135</v>
      </c>
      <c r="B4" s="11"/>
    </row>
    <row r="5" spans="1:2" ht="19.5" customHeight="1" x14ac:dyDescent="0.3">
      <c r="A5" s="6" t="s">
        <v>136</v>
      </c>
      <c r="B5" s="11"/>
    </row>
    <row r="6" spans="1:2" ht="19.5" customHeight="1" x14ac:dyDescent="0.3">
      <c r="A6" s="6" t="s">
        <v>137</v>
      </c>
      <c r="B6" s="11"/>
    </row>
    <row r="7" spans="1:2" ht="19.5" customHeight="1" x14ac:dyDescent="0.3">
      <c r="A7" s="6" t="s">
        <v>138</v>
      </c>
      <c r="B7" s="11"/>
    </row>
    <row r="8" spans="1:2" ht="19.5" customHeight="1" x14ac:dyDescent="0.3">
      <c r="A8" s="6" t="s">
        <v>139</v>
      </c>
      <c r="B8" s="11"/>
    </row>
    <row r="9" spans="1:2" ht="19.5" customHeight="1" x14ac:dyDescent="0.3">
      <c r="A9" s="6" t="s">
        <v>140</v>
      </c>
      <c r="B9" s="11"/>
    </row>
    <row r="10" spans="1:2" ht="19.5" customHeight="1" x14ac:dyDescent="0.3">
      <c r="A10" s="6" t="s">
        <v>141</v>
      </c>
      <c r="B10" s="11"/>
    </row>
    <row r="11" spans="1:2" ht="19.5" customHeight="1" x14ac:dyDescent="0.3">
      <c r="A11" s="6" t="s">
        <v>142</v>
      </c>
      <c r="B11" s="11"/>
    </row>
    <row r="12" spans="1:2" x14ac:dyDescent="0.3">
      <c r="A12" s="7" t="s">
        <v>143</v>
      </c>
      <c r="B12" s="11"/>
    </row>
    <row r="13" spans="1:2" x14ac:dyDescent="0.3">
      <c r="A13" s="7" t="s">
        <v>144</v>
      </c>
      <c r="B13" s="11"/>
    </row>
  </sheetData>
  <mergeCells count="2">
    <mergeCell ref="A1:B1"/>
    <mergeCell ref="A2:B2"/>
  </mergeCells>
  <dataValidations count="1">
    <dataValidation type="list" allowBlank="1" sqref="B4:B11" xr:uid="{00000000-0002-0000-0700-000000000000}">
      <formula1>"Yes,No"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0_Start_Here</vt:lpstr>
      <vt:lpstr>1_Your_Details</vt:lpstr>
      <vt:lpstr>2_Must_haves</vt:lpstr>
      <vt:lpstr>3_Levels</vt:lpstr>
      <vt:lpstr>4_Integration</vt:lpstr>
      <vt:lpstr>5_Metrics</vt:lpstr>
      <vt:lpstr>6_Hard_cases</vt:lpstr>
      <vt:lpstr>7_Declaration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Shanmathi N</cp:lastModifiedBy>
  <cp:revision>0</cp:revision>
  <dcterms:created xsi:type="dcterms:W3CDTF">2026-10-13T08:20:02Z</dcterms:created>
  <dcterms:modified xsi:type="dcterms:W3CDTF">2026-10-20T12:32:15Z</dcterms:modified>
  <dc:language>en-US</dc:language>
</cp:coreProperties>
</file>